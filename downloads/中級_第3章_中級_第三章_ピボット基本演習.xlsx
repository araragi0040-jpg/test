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3bb22c592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ecea2f464baa4d9c"/>
    <x:sheet xmlns:r="http://schemas.openxmlformats.org/officeDocument/2006/relationships" name="01_元データ" sheetId="2" r:id="R49384d4cd6a54758"/>
    <x:sheet xmlns:r="http://schemas.openxmlformats.org/officeDocument/2006/relationships" name="02_設計・操作手順" sheetId="3" r:id="R0c7521fb63e842d8"/>
    <x:sheet xmlns:r="http://schemas.openxmlformats.org/officeDocument/2006/relationships" name="03_期待値・参考集計" sheetId="4" r:id="R145e561ad03b4a91"/>
    <x:sheet xmlns:r="http://schemas.openxmlformats.org/officeDocument/2006/relationships" name="04_フィルター・更新記録" sheetId="5" r:id="Rc571bce55c814b1a"/>
    <x:sheet xmlns:r="http://schemas.openxmlformats.org/officeDocument/2006/relationships" name="05_提出確認" sheetId="6" r:id="Rc13ff62a079d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/mm/dd"/>
    <x:numFmt numFmtId="201" formatCode="yyyy-mm"/>
    <x:numFmt numFmtId="202" formatCode="0"/>
    <x:numFmt numFmtId="203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3E7293"/>
      </x:patternFill>
    </x:fill>
    <x:fill>
      <x:patternFill patternType="solid">
        <x:fgColor rgb="FFFFF3CD"/>
      </x:patternFill>
    </x:fill>
    <x:fill>
      <x:patternFill patternType="solid">
        <x:fgColor rgb="FFEEF2F5"/>
      </x:patternFill>
    </x:fill>
    <x:fill>
      <x:patternFill patternType="solid">
        <x:fgColor rgb="FFDCEAF3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3" fillId="5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3" fillId="5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3" fillId="5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3" fillId="5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203" fontId="3" fillId="5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3" fillId="5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/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top" wrapText="1"/>
    </x:xf>
    <x:xf numFmtId="203" fontId="3" fillId="7" borderId="0" xfId="0" applyNumberFormat="1" applyFont="1" applyFill="1" applyBorder="1" applyAlignment="1">
      <x:alignment vertical="top" wrapText="1"/>
    </x:xf>
    <x:xf numFmtId="203" fontId="3" fillId="7" borderId="1" xfId="0" applyNumberFormat="1" applyFont="1" applyFill="1" applyBorder="1" applyAlignment="1">
      <x:alignment vertical="top" wrapText="1"/>
    </x:xf>
    <x:xf numFmtId="203" fontId="3" fillId="4" borderId="0" xfId="0" applyNumberFormat="1" applyFont="1" applyFill="1" applyBorder="1" applyAlignment="1">
      <x:alignment vertical="top" wrapText="1"/>
    </x:xf>
    <x:xf numFmtId="203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0c6ecce1b461e" /><Relationship Type="http://schemas.openxmlformats.org/officeDocument/2006/relationships/theme" Target="/xl/theme/theme1.xml" Id="R027362d9553d4c91" /><Relationship Type="http://schemas.openxmlformats.org/officeDocument/2006/relationships/sharedStrings" Target="/xl/sharedStrings.xml" Id="R03cc7ae2d2654dad" /><Relationship Type="http://schemas.openxmlformats.org/officeDocument/2006/relationships/worksheet" Target="/xl/worksheets/sheet1.xml" Id="Recea2f464baa4d9c" /><Relationship Type="http://schemas.openxmlformats.org/officeDocument/2006/relationships/worksheet" Target="/xl/worksheets/sheet2.xml" Id="R49384d4cd6a54758" /><Relationship Type="http://schemas.openxmlformats.org/officeDocument/2006/relationships/worksheet" Target="/xl/worksheets/sheet3.xml" Id="R0c7521fb63e842d8" /><Relationship Type="http://schemas.openxmlformats.org/officeDocument/2006/relationships/worksheet" Target="/xl/worksheets/sheet4.xml" Id="R145e561ad03b4a91" /><Relationship Type="http://schemas.openxmlformats.org/officeDocument/2006/relationships/worksheet" Target="/xl/worksheets/sheet5.xml" Id="Rc571bce55c814b1a" /><Relationship Type="http://schemas.openxmlformats.org/officeDocument/2006/relationships/worksheet" Target="/xl/worksheets/sheet6.xml" Id="Rc13ff62a079d4fbc" /></Relationships>
</file>

<file path=xl/tables/table1.xml><?xml version="1.0" encoding="utf-8"?>
<x:table xmlns:x="http://schemas.openxmlformats.org/spreadsheetml/2006/main" id="1" name="月次実績テーブル" displayName="月次実績テーブル" ref="A3:O15" headerRowCount="1">
  <x:tableColumns count="15">
    <x:tableColumn id="1" name="実績ID"/>
    <x:tableColumn id="2" name="実績日"/>
    <x:tableColumn id="3" name="年月"/>
    <x:tableColumn id="4" name="部門"/>
    <x:tableColumn id="5" name="担当者"/>
    <x:tableColumn id="6" name="地域"/>
    <x:tableColumn id="7" name="顧客区分"/>
    <x:tableColumn id="8" name="サービスカテゴリ"/>
    <x:tableColumn id="9" name="サービス名"/>
    <x:tableColumn id="10" name="数量"/>
    <x:tableColumn id="11" name="単価"/>
    <x:tableColumn id="12" name="売上金額"/>
    <x:tableColumn id="13" name="ステータス"/>
    <x:tableColumn id="14" name="受注経路"/>
    <x:tableColumn id="15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39ad1cac09470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4" hidden="0" customWidth="1"/>
    <x:col min="4" max="4" width="28" hidden="0" customWidth="1"/>
    <x:col min="5" max="5" width="34" hidden="0" customWidth="1"/>
    <x:col min="6" max="6" width="13" hidden="0" customWidth="1"/>
  </x:cols>
  <x:sheetData>
    <x:row r="1" ht="34" customHeight="1">
      <x:c r="A1" s="6" t="str">
        <x:v>中級・第三章　ピボットテーブルによる基本集計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01_元データ</x:v>
      </x:c>
      <x:c r="C5" s="24" t="str">
        <x:v>15列・12件を確認</x:v>
      </x:c>
      <x:c r="D5" s="24" t="str">
        <x:v>件数・売上・IDを確認</x:v>
      </x:c>
      <x:c r="E5" s="24" t="str">
        <x:v>元データを変更しない</x:v>
      </x:c>
      <x:c r="F5" s="24" t="str">
        <x:v>未確認</x:v>
      </x:c>
    </x:row>
    <x:row r="6">
      <x:c r="A6" s="24" t="n">
        <x:v>2</x:v>
      </x:c>
      <x:c r="B6" s="24" t="str">
        <x:v>02_設計・操作手順</x:v>
      </x:c>
      <x:c r="C6" s="24" t="str">
        <x:v>P1・P2の設定を確認</x:v>
      </x:c>
      <x:c r="D6" s="24" t="str">
        <x:v>行・値・集計方法を確認</x:v>
      </x:c>
      <x:c r="E6" s="24" t="str">
        <x:v>目的の列へ戻る</x:v>
      </x:c>
      <x:c r="F6" s="24" t="str">
        <x:v>未確認</x:v>
      </x:c>
    </x:row>
    <x:row r="7">
      <x:c r="A7" s="24" t="n">
        <x:v>3</x:v>
      </x:c>
      <x:c r="B7" s="24" t="str">
        <x:v>P1_月別売上</x:v>
      </x:c>
      <x:c r="C7" s="24" t="str">
        <x:v>月別売上を作成</x:v>
      </x:c>
      <x:c r="D7" s="24" t="str">
        <x:v>総計1,780,000</x:v>
      </x:c>
      <x:c r="E7" s="24" t="str">
        <x:v>売上が個数なら集計方法確認</x:v>
      </x:c>
      <x:c r="F7" s="24" t="str">
        <x:v>未確認</x:v>
      </x:c>
    </x:row>
    <x:row r="8">
      <x:c r="A8" s="24" t="n">
        <x:v>4</x:v>
      </x:c>
      <x:c r="B8" s="24" t="str">
        <x:v>P2_部門別件数</x:v>
      </x:c>
      <x:c r="C8" s="24" t="str">
        <x:v>部門別件数を作成</x:v>
      </x:c>
      <x:c r="D8" s="24" t="str">
        <x:v>総計12</x:v>
      </x:c>
      <x:c r="E8" s="24" t="str">
        <x:v>値は実績ID</x:v>
      </x:c>
      <x:c r="F8" s="24" t="str">
        <x:v>未確認</x:v>
      </x:c>
    </x:row>
    <x:row r="9">
      <x:c r="A9" s="24" t="n">
        <x:v>5</x:v>
      </x:c>
      <x:c r="B9" s="24" t="str">
        <x:v>04_フィルター・更新記録</x:v>
      </x:c>
      <x:c r="C9" s="24" t="str">
        <x:v>関西フィルターと更新</x:v>
      </x:c>
      <x:c r="D9" s="24" t="str">
        <x:v>740,000・更新値・復元</x:v>
      </x:c>
      <x:c r="E9" s="24" t="str">
        <x:v>フィルターと更新を確認</x:v>
      </x:c>
      <x:c r="F9" s="24" t="str">
        <x:v>未確認</x:v>
      </x:c>
    </x:row>
    <x:row r="10">
      <x:c r="A10" s="24" t="n">
        <x:v>6</x:v>
      </x:c>
      <x:c r="B10" s="24" t="str">
        <x:v>05_提出確認</x:v>
      </x:c>
      <x:c r="C10" s="24" t="str">
        <x:v>理解確認・完成判定</x:v>
      </x:c>
      <x:c r="D10" s="24" t="str">
        <x:v>5問回答・完成記録</x:v>
      </x:c>
      <x:c r="E10" s="24" t="str">
        <x:v>長文にしない</x:v>
      </x:c>
      <x:c r="F10" s="24" t="str">
        <x:v>未確認</x:v>
      </x:c>
    </x:row>
    <x:row r="12">
      <x:c r="A12" s="16" t="str">
        <x:v>基本情報</x:v>
      </x:c>
      <x:c r="B12" s="16" t="str">
        <x:v>入力</x:v>
      </x:c>
    </x:row>
    <x:row r="13">
      <x:c r="A13" s="24" t="str">
        <x:v>使用環境</x:v>
      </x:c>
      <x:c r="B13" s="28" t="str"/>
    </x:row>
    <x:row r="14">
      <x:c r="A14" s="24" t="str">
        <x:v>ファイル名</x:v>
      </x:c>
      <x:c r="B14" s="28" t="str"/>
    </x:row>
    <x:row r="15">
      <x:c r="A15" s="24" t="str">
        <x:v>保存先</x:v>
      </x:c>
      <x:c r="B15" s="28" t="str"/>
    </x:row>
    <x:row r="16">
      <x:c r="A16" s="24" t="str">
        <x:v>問い合わせ先</x:v>
      </x:c>
      <x:c r="B16" s="24" t="str">
        <x:v>教材演習担当</x:v>
      </x:c>
    </x:row>
    <x:row r="18">
      <x:c r="A18" s="32" t="str">
        <x:v>注意：必須で作成するピボットは2つです。黄色セルへ操作結果を記録します。</x:v>
      </x:c>
      <x:c r="B18" s="32"/>
      <x:c r="C18" s="32"/>
      <x:c r="D18" s="32"/>
      <x:c r="E18" s="32"/>
      <x:c r="F18" s="32"/>
    </x:row>
  </x:sheetData>
  <x:mergeCells>
    <x:mergeCell ref="A1:F2"/>
    <x:mergeCell ref="A18:F18"/>
  </x:mergeCells>
  <x:dataValidations count="2">
    <x:dataValidation type="list" sqref="F5:F10">
      <x:formula1>"未確認,OK,要確認"</x:formula1>
    </x:dataValidation>
    <x:dataValidation type="list" sqref="B13">
      <x:formula1>"パソコン版,Web版"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5" hidden="0" customWidth="1"/>
    <x:col min="8" max="8" width="22" hidden="0" customWidth="1"/>
    <x:col min="9" max="9" width="18" hidden="0" customWidth="1"/>
    <x:col min="10" max="10" width="11" hidden="0" customWidth="1"/>
    <x:col min="11" max="11" width="14" hidden="0" customWidth="1"/>
    <x:col min="12" max="12" width="16" hidden="0" customWidth="1"/>
    <x:col min="13" max="13" width="15" hidden="0" customWidth="1"/>
    <x:col min="14" max="14" width="16" hidden="0" customWidth="1"/>
    <x:col min="15" max="15" width="24" hidden="0" customWidth="1"/>
    <x:col min="17" max="17" width="24" hidden="0" customWidth="1"/>
    <x:col min="18" max="18" width="18" hidden="0" customWidth="1"/>
    <x:col min="20" max="20" width="14" hidden="0" customWidth="1"/>
    <x:col min="21" max="21" width="14" hidden="0" customWidth="1"/>
  </x:cols>
  <x:sheetData>
    <x:row r="1" ht="34" customHeight="1">
      <x:c r="A1" s="6" t="str">
        <x:v>月次実績テーブル　ピボットテーブルの元データ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実績ID</x:v>
      </x:c>
      <x:c r="B3" s="16" t="str">
        <x:v>実績日</x:v>
      </x:c>
      <x:c r="C3" s="16" t="str">
        <x:v>年月</x:v>
      </x:c>
      <x:c r="D3" s="16" t="str">
        <x:v>部門</x:v>
      </x:c>
      <x:c r="E3" s="16" t="str">
        <x:v>担当者</x:v>
      </x:c>
      <x:c r="F3" s="16" t="str">
        <x:v>地域</x:v>
      </x:c>
      <x:c r="G3" s="16" t="str">
        <x:v>顧客区分</x:v>
      </x:c>
      <x:c r="H3" s="16" t="str">
        <x:v>サービスカテゴリ</x:v>
      </x:c>
      <x:c r="I3" s="16" t="str">
        <x:v>サービス名</x:v>
      </x:c>
      <x:c r="J3" s="16" t="str">
        <x:v>数量</x:v>
      </x:c>
      <x:c r="K3" s="16" t="str">
        <x:v>単価</x:v>
      </x:c>
      <x:c r="L3" s="16" t="str">
        <x:v>売上金額</x:v>
      </x:c>
      <x:c r="M3" s="16" t="str">
        <x:v>ステータス</x:v>
      </x:c>
      <x:c r="N3" s="16" t="str">
        <x:v>受注経路</x:v>
      </x:c>
      <x:c r="O3" s="16" t="str">
        <x:v>備考</x:v>
      </x:c>
      <x:c r="Q3" s="16" t="str">
        <x:v>元データ確認</x:v>
      </x:c>
      <x:c r="R3" s="16" t="str">
        <x:v>現在値</x:v>
      </x:c>
      <x:c r="T3" s="16" t="str">
        <x:v>ID</x:v>
      </x:c>
      <x:c r="U3" s="16" t="str">
        <x:v>出現数</x:v>
      </x:c>
    </x:row>
    <x:row r="4">
      <x:c r="A4" s="39" t="str">
        <x:v>R0001</x:v>
      </x:c>
      <x:c r="B4" s="44" t="n">
        <x:v>46143</x:v>
      </x:c>
      <x:c r="C4" s="48" t="n">
        <x:v>46143</x:v>
      </x:c>
      <x:c r="D4" s="39" t="str">
        <x:v>営業1課</x:v>
      </x:c>
      <x:c r="E4" s="39" t="str">
        <x:v>佐藤太郎</x:v>
      </x:c>
      <x:c r="F4" s="39" t="str">
        <x:v>関西</x:v>
      </x:c>
      <x:c r="G4" s="39" t="str">
        <x:v>新規</x:v>
      </x:c>
      <x:c r="H4" s="39" t="str">
        <x:v>保守</x:v>
      </x:c>
      <x:c r="I4" s="39" t="str">
        <x:v>保守A</x:v>
      </x:c>
      <x:c r="J4" s="52" t="n">
        <x:v>1</x:v>
      </x:c>
      <x:c r="K4" s="56" t="n">
        <x:v>120000</x:v>
      </x:c>
      <x:c r="L4" s="56" t="n">
        <x:v>120000</x:v>
      </x:c>
      <x:c r="M4" s="39" t="str">
        <x:v>完了</x:v>
      </x:c>
      <x:c r="N4" s="39" t="str">
        <x:v>Web</x:v>
      </x:c>
      <x:c r="O4" s="39" t="str"/>
      <x:c r="Q4" s="24" t="str">
        <x:v>列数</x:v>
      </x:c>
      <x:c r="R4" s="24" t="n">
        <x:f>COUNTA(A3:O3)</x:f>
        <x:v>15</x:v>
      </x:c>
      <x:c r="T4" s="39" t="str">
        <x:v>R0001</x:v>
      </x:c>
      <x:c r="U4" s="39" t="n">
        <x:f>COUNTIF(A4:A100,T4)</x:f>
        <x:v>1</x:v>
      </x:c>
    </x:row>
    <x:row r="5">
      <x:c r="A5" s="39" t="str">
        <x:v>R0002</x:v>
      </x:c>
      <x:c r="B5" s="44" t="n">
        <x:v>46144</x:v>
      </x:c>
      <x:c r="C5" s="48" t="n">
        <x:v>46143</x:v>
      </x:c>
      <x:c r="D5" s="39" t="str">
        <x:v>営業1課</x:v>
      </x:c>
      <x:c r="E5" s="39" t="str">
        <x:v>佐藤太郎</x:v>
      </x:c>
      <x:c r="F5" s="39" t="str">
        <x:v>関西</x:v>
      </x:c>
      <x:c r="G5" s="39" t="str">
        <x:v>既存</x:v>
      </x:c>
      <x:c r="H5" s="39" t="str">
        <x:v>導入</x:v>
      </x:c>
      <x:c r="I5" s="39" t="str">
        <x:v>導入B</x:v>
      </x:c>
      <x:c r="J5" s="52" t="n">
        <x:v>2</x:v>
      </x:c>
      <x:c r="K5" s="56" t="n">
        <x:v>80000</x:v>
      </x:c>
      <x:c r="L5" s="56" t="n">
        <x:v>160000</x:v>
      </x:c>
      <x:c r="M5" s="39" t="str">
        <x:v>進行中</x:v>
      </x:c>
      <x:c r="N5" s="39" t="str">
        <x:v>紹介</x:v>
      </x:c>
      <x:c r="O5" s="39" t="str"/>
      <x:c r="Q5" s="24" t="str">
        <x:v>明細件数</x:v>
      </x:c>
      <x:c r="R5" s="24" t="n">
        <x:f>COUNTA(A4:A100)</x:f>
        <x:v>12</x:v>
      </x:c>
      <x:c r="T5" s="39" t="str">
        <x:v>R0002</x:v>
      </x:c>
      <x:c r="U5" s="39" t="n">
        <x:f>COUNTIF(A4:A100,T5)</x:f>
        <x:v>1</x:v>
      </x:c>
    </x:row>
    <x:row r="6">
      <x:c r="A6" s="39" t="str">
        <x:v>R0003</x:v>
      </x:c>
      <x:c r="B6" s="44" t="n">
        <x:v>46145</x:v>
      </x:c>
      <x:c r="C6" s="48" t="n">
        <x:v>46143</x:v>
      </x:c>
      <x:c r="D6" s="39" t="str">
        <x:v>営業1課</x:v>
      </x:c>
      <x:c r="E6" s="39" t="str">
        <x:v>山本直子</x:v>
      </x:c>
      <x:c r="F6" s="39" t="str">
        <x:v>中部</x:v>
      </x:c>
      <x:c r="G6" s="39" t="str">
        <x:v>新規</x:v>
      </x:c>
      <x:c r="H6" s="39" t="str">
        <x:v>研修</x:v>
      </x:c>
      <x:c r="I6" s="39" t="str">
        <x:v>研修C</x:v>
      </x:c>
      <x:c r="J6" s="52" t="n">
        <x:v>3</x:v>
      </x:c>
      <x:c r="K6" s="56" t="n">
        <x:v>50000</x:v>
      </x:c>
      <x:c r="L6" s="56" t="n">
        <x:v>150000</x:v>
      </x:c>
      <x:c r="M6" s="39" t="str">
        <x:v>完了</x:v>
      </x:c>
      <x:c r="N6" s="39" t="str">
        <x:v>電話</x:v>
      </x:c>
      <x:c r="O6" s="39" t="str"/>
      <x:c r="Q6" s="24" t="str">
        <x:v>売上金額合計</x:v>
      </x:c>
      <x:c r="R6" s="60" t="n">
        <x:f>SUM(L4:L100)</x:f>
        <x:v>1780000</x:v>
      </x:c>
      <x:c r="T6" s="39" t="str">
        <x:v>R0003</x:v>
      </x:c>
      <x:c r="U6" s="39" t="n">
        <x:f>COUNTIF(A4:A100,T6)</x:f>
        <x:v>1</x:v>
      </x:c>
    </x:row>
    <x:row r="7">
      <x:c r="A7" s="39" t="str">
        <x:v>R0004</x:v>
      </x:c>
      <x:c r="B7" s="44" t="n">
        <x:v>46146</x:v>
      </x:c>
      <x:c r="C7" s="48" t="n">
        <x:v>46143</x:v>
      </x:c>
      <x:c r="D7" s="39" t="str">
        <x:v>営業1課</x:v>
      </x:c>
      <x:c r="E7" s="39" t="str">
        <x:v>山本直子</x:v>
      </x:c>
      <x:c r="F7" s="39" t="str">
        <x:v>関東</x:v>
      </x:c>
      <x:c r="G7" s="39" t="str">
        <x:v>既存</x:v>
      </x:c>
      <x:c r="H7" s="39" t="str">
        <x:v>保守</x:v>
      </x:c>
      <x:c r="I7" s="39" t="str">
        <x:v>保守A</x:v>
      </x:c>
      <x:c r="J7" s="52" t="n">
        <x:v>1</x:v>
      </x:c>
      <x:c r="K7" s="56" t="n">
        <x:v>120000</x:v>
      </x:c>
      <x:c r="L7" s="56" t="n">
        <x:v>120000</x:v>
      </x:c>
      <x:c r="M7" s="39" t="str">
        <x:v>完了</x:v>
      </x:c>
      <x:c r="N7" s="39" t="str">
        <x:v>Web</x:v>
      </x:c>
      <x:c r="O7" s="39" t="str">
        <x:v>表記確認</x:v>
      </x:c>
      <x:c r="Q7" s="24" t="str">
        <x:v>実績ID空欄</x:v>
      </x:c>
      <x:c r="R7" s="24" t="n">
        <x:f>COUNTBLANK(A4:A15)</x:f>
        <x:v>0</x:v>
      </x:c>
      <x:c r="T7" s="39" t="str">
        <x:v>R0004</x:v>
      </x:c>
      <x:c r="U7" s="39" t="n">
        <x:f>COUNTIF(A4:A100,T7)</x:f>
        <x:v>1</x:v>
      </x:c>
    </x:row>
    <x:row r="8">
      <x:c r="A8" s="39" t="str">
        <x:v>R0005</x:v>
      </x:c>
      <x:c r="B8" s="44" t="n">
        <x:v>46143</x:v>
      </x:c>
      <x:c r="C8" s="48" t="n">
        <x:v>46143</x:v>
      </x:c>
      <x:c r="D8" s="39" t="str">
        <x:v>営業2課</x:v>
      </x:c>
      <x:c r="E8" s="39" t="str">
        <x:v>鈴木花子</x:v>
      </x:c>
      <x:c r="F8" s="39" t="str">
        <x:v>関東</x:v>
      </x:c>
      <x:c r="G8" s="39" t="str">
        <x:v>新規</x:v>
      </x:c>
      <x:c r="H8" s="39" t="str">
        <x:v>導入</x:v>
      </x:c>
      <x:c r="I8" s="39" t="str">
        <x:v>導入B</x:v>
      </x:c>
      <x:c r="J8" s="52" t="n">
        <x:v>1</x:v>
      </x:c>
      <x:c r="K8" s="56" t="n">
        <x:v>80000</x:v>
      </x:c>
      <x:c r="L8" s="56" t="n">
        <x:v>80000</x:v>
      </x:c>
      <x:c r="M8" s="39" t="str">
        <x:v>完了</x:v>
      </x:c>
      <x:c r="N8" s="39" t="str">
        <x:v>紹介</x:v>
      </x:c>
      <x:c r="O8" s="39" t="str"/>
      <x:c r="Q8" s="24" t="str">
        <x:v>実績ID重複行</x:v>
      </x:c>
      <x:c r="R8" s="24" t="n">
        <x:f>COUNTIF(U4:U15,"&gt;1")</x:f>
        <x:v>0</x:v>
      </x:c>
      <x:c r="T8" s="39" t="str">
        <x:v>R0005</x:v>
      </x:c>
      <x:c r="U8" s="39" t="n">
        <x:f>COUNTIF(A4:A100,T8)</x:f>
        <x:v>1</x:v>
      </x:c>
    </x:row>
    <x:row r="9">
      <x:c r="A9" s="39" t="str">
        <x:v>R0006</x:v>
      </x:c>
      <x:c r="B9" s="44" t="n">
        <x:v>46144</x:v>
      </x:c>
      <x:c r="C9" s="48" t="n">
        <x:v>46143</x:v>
      </x:c>
      <x:c r="D9" s="39" t="str">
        <x:v>営業2課</x:v>
      </x:c>
      <x:c r="E9" s="39" t="str">
        <x:v>鈴木花子</x:v>
      </x:c>
      <x:c r="F9" s="39" t="str">
        <x:v>関東</x:v>
      </x:c>
      <x:c r="G9" s="39" t="str">
        <x:v>既存</x:v>
      </x:c>
      <x:c r="H9" s="39" t="str">
        <x:v>保守</x:v>
      </x:c>
      <x:c r="I9" s="39" t="str">
        <x:v>保守A</x:v>
      </x:c>
      <x:c r="J9" s="52" t="n">
        <x:v>2</x:v>
      </x:c>
      <x:c r="K9" s="56" t="n">
        <x:v>120000</x:v>
      </x:c>
      <x:c r="L9" s="56" t="n">
        <x:v>240000</x:v>
      </x:c>
      <x:c r="M9" s="39" t="str">
        <x:v>完了</x:v>
      </x:c>
      <x:c r="N9" s="39" t="str">
        <x:v>Web</x:v>
      </x:c>
      <x:c r="O9" s="39" t="str"/>
      <x:c r="Q9" s="24" t="str">
        <x:v>標準状態</x:v>
      </x:c>
      <x:c r="R9" s="24" t="str">
        <x:f>IF(AND(R5=12,R6=1780000,R7=0,R8=0),"OK","要確認")</x:f>
        <x:v>OK</x:v>
      </x:c>
      <x:c r="T9" s="39" t="str">
        <x:v>R0006</x:v>
      </x:c>
      <x:c r="U9" s="39" t="n">
        <x:f>COUNTIF(A4:A100,T9)</x:f>
        <x:v>1</x:v>
      </x:c>
    </x:row>
    <x:row r="10">
      <x:c r="A10" s="39" t="str">
        <x:v>R0007</x:v>
      </x:c>
      <x:c r="B10" s="44" t="n">
        <x:v>46147</x:v>
      </x:c>
      <x:c r="C10" s="48" t="n">
        <x:v>46143</x:v>
      </x:c>
      <x:c r="D10" s="39" t="str">
        <x:v>営業2課</x:v>
      </x:c>
      <x:c r="E10" s="39" t="str">
        <x:v>田中一郎</x:v>
      </x:c>
      <x:c r="F10" s="39" t="str">
        <x:v>関西</x:v>
      </x:c>
      <x:c r="G10" s="39" t="str">
        <x:v>新規</x:v>
      </x:c>
      <x:c r="H10" s="39" t="str">
        <x:v>研修</x:v>
      </x:c>
      <x:c r="I10" s="39" t="str">
        <x:v>研修C</x:v>
      </x:c>
      <x:c r="J10" s="52" t="n">
        <x:v>2</x:v>
      </x:c>
      <x:c r="K10" s="56" t="n">
        <x:v>50000</x:v>
      </x:c>
      <x:c r="L10" s="56" t="n">
        <x:v>100000</x:v>
      </x:c>
      <x:c r="M10" s="39" t="str">
        <x:v>進行中</x:v>
      </x:c>
      <x:c r="N10" s="39" t="str">
        <x:v>イベント</x:v>
      </x:c>
      <x:c r="O10" s="39" t="str"/>
      <x:c r="T10" s="39" t="str">
        <x:v>R0007</x:v>
      </x:c>
      <x:c r="U10" s="39" t="n">
        <x:f>COUNTIF(A4:A100,T10)</x:f>
        <x:v>1</x:v>
      </x:c>
    </x:row>
    <x:row r="11">
      <x:c r="A11" s="39" t="str">
        <x:v>R0008</x:v>
      </x:c>
      <x:c r="B11" s="44" t="n">
        <x:v>46148</x:v>
      </x:c>
      <x:c r="C11" s="48" t="n">
        <x:v>46143</x:v>
      </x:c>
      <x:c r="D11" s="39" t="str">
        <x:v>営業2課</x:v>
      </x:c>
      <x:c r="E11" s="39" t="str">
        <x:v>田中一郎</x:v>
      </x:c>
      <x:c r="F11" s="39" t="str">
        <x:v>中部</x:v>
      </x:c>
      <x:c r="G11" s="39" t="str">
        <x:v>既存</x:v>
      </x:c>
      <x:c r="H11" s="39" t="str">
        <x:v>導入</x:v>
      </x:c>
      <x:c r="I11" s="39" t="str">
        <x:v>導入B</x:v>
      </x:c>
      <x:c r="J11" s="52" t="n">
        <x:v>3</x:v>
      </x:c>
      <x:c r="K11" s="56" t="n">
        <x:v>80000</x:v>
      </x:c>
      <x:c r="L11" s="56" t="n">
        <x:v>240000</x:v>
      </x:c>
      <x:c r="M11" s="39" t="str">
        <x:v>完了</x:v>
      </x:c>
      <x:c r="N11" s="39" t="str">
        <x:v>電話</x:v>
      </x:c>
      <x:c r="O11" s="39" t="str"/>
      <x:c r="T11" s="39" t="str">
        <x:v>R0008</x:v>
      </x:c>
      <x:c r="U11" s="39" t="n">
        <x:f>COUNTIF(A4:A100,T11)</x:f>
        <x:v>1</x:v>
      </x:c>
    </x:row>
    <x:row r="12">
      <x:c r="A12" s="39" t="str">
        <x:v>R0009</x:v>
      </x:c>
      <x:c r="B12" s="44" t="n">
        <x:v>46144</x:v>
      </x:c>
      <x:c r="C12" s="48" t="n">
        <x:v>46143</x:v>
      </x:c>
      <x:c r="D12" s="39" t="str">
        <x:v>技術部</x:v>
      </x:c>
      <x:c r="E12" s="39" t="str">
        <x:v>高橋健</x:v>
      </x:c>
      <x:c r="F12" s="39" t="str">
        <x:v>関西</x:v>
      </x:c>
      <x:c r="G12" s="39" t="str">
        <x:v>既存</x:v>
      </x:c>
      <x:c r="H12" s="39" t="str">
        <x:v>保守</x:v>
      </x:c>
      <x:c r="I12" s="39" t="str">
        <x:v>保守A</x:v>
      </x:c>
      <x:c r="J12" s="52" t="n">
        <x:v>1</x:v>
      </x:c>
      <x:c r="K12" s="56" t="n">
        <x:v>120000</x:v>
      </x:c>
      <x:c r="L12" s="56" t="n">
        <x:v>120000</x:v>
      </x:c>
      <x:c r="M12" s="39" t="str">
        <x:v>完了</x:v>
      </x:c>
      <x:c r="N12" s="39" t="str">
        <x:v>紹介</x:v>
      </x:c>
      <x:c r="O12" s="39" t="str"/>
      <x:c r="T12" s="39" t="str">
        <x:v>R0009</x:v>
      </x:c>
      <x:c r="U12" s="39" t="n">
        <x:f>COUNTIF(A4:A100,T12)</x:f>
        <x:v>1</x:v>
      </x:c>
    </x:row>
    <x:row r="13">
      <x:c r="A13" s="39" t="str">
        <x:v>R0010</x:v>
      </x:c>
      <x:c r="B13" s="44" t="n">
        <x:v>46145</x:v>
      </x:c>
      <x:c r="C13" s="48" t="n">
        <x:v>46143</x:v>
      </x:c>
      <x:c r="D13" s="39" t="str">
        <x:v>技術部</x:v>
      </x:c>
      <x:c r="E13" s="39" t="str">
        <x:v>高橋健</x:v>
      </x:c>
      <x:c r="F13" s="39" t="str">
        <x:v>関東</x:v>
      </x:c>
      <x:c r="G13" s="39" t="str">
        <x:v>新規</x:v>
      </x:c>
      <x:c r="H13" s="39" t="str">
        <x:v>導入</x:v>
      </x:c>
      <x:c r="I13" s="39" t="str">
        <x:v>導入B</x:v>
      </x:c>
      <x:c r="J13" s="52" t="n">
        <x:v>2</x:v>
      </x:c>
      <x:c r="K13" s="56" t="n">
        <x:v>80000</x:v>
      </x:c>
      <x:c r="L13" s="56" t="n">
        <x:v>160000</x:v>
      </x:c>
      <x:c r="M13" s="39" t="str">
        <x:v>進行中</x:v>
      </x:c>
      <x:c r="N13" s="39" t="str">
        <x:v>Web</x:v>
      </x:c>
      <x:c r="O13" s="39" t="str"/>
      <x:c r="T13" s="39" t="str">
        <x:v>R0010</x:v>
      </x:c>
      <x:c r="U13" s="39" t="n">
        <x:f>COUNTIF(A4:A100,T13)</x:f>
        <x:v>1</x:v>
      </x:c>
    </x:row>
    <x:row r="14">
      <x:c r="A14" s="39" t="str">
        <x:v>R0011</x:v>
      </x:c>
      <x:c r="B14" s="44" t="n">
        <x:v>46149</x:v>
      </x:c>
      <x:c r="C14" s="48" t="n">
        <x:v>46143</x:v>
      </x:c>
      <x:c r="D14" s="39" t="str">
        <x:v>技術部</x:v>
      </x:c>
      <x:c r="E14" s="39" t="str">
        <x:v>伊藤美咲</x:v>
      </x:c>
      <x:c r="F14" s="39" t="str">
        <x:v>中部</x:v>
      </x:c>
      <x:c r="G14" s="39" t="str">
        <x:v>既存</x:v>
      </x:c>
      <x:c r="H14" s="39" t="str">
        <x:v>研修</x:v>
      </x:c>
      <x:c r="I14" s="39" t="str">
        <x:v>研修C</x:v>
      </x:c>
      <x:c r="J14" s="52" t="n">
        <x:v>1</x:v>
      </x:c>
      <x:c r="K14" s="56" t="n">
        <x:v>50000</x:v>
      </x:c>
      <x:c r="L14" s="56" t="n">
        <x:v>50000</x:v>
      </x:c>
      <x:c r="M14" s="39" t="str">
        <x:v>完了</x:v>
      </x:c>
      <x:c r="N14" s="39" t="str">
        <x:v>イベント</x:v>
      </x:c>
      <x:c r="O14" s="39" t="str"/>
      <x:c r="T14" s="39" t="str">
        <x:v>R0011</x:v>
      </x:c>
      <x:c r="U14" s="39" t="n">
        <x:f>COUNTIF(A4:A100,T14)</x:f>
        <x:v>1</x:v>
      </x:c>
    </x:row>
    <x:row r="15">
      <x:c r="A15" s="39" t="str">
        <x:v>R0012</x:v>
      </x:c>
      <x:c r="B15" s="44" t="n">
        <x:v>46150</x:v>
      </x:c>
      <x:c r="C15" s="48" t="n">
        <x:v>46143</x:v>
      </x:c>
      <x:c r="D15" s="39" t="str">
        <x:v>技術部</x:v>
      </x:c>
      <x:c r="E15" s="39" t="str">
        <x:v>伊藤美咲</x:v>
      </x:c>
      <x:c r="F15" s="39" t="str">
        <x:v>関西</x:v>
      </x:c>
      <x:c r="G15" s="39" t="str">
        <x:v>新規</x:v>
      </x:c>
      <x:c r="H15" s="39" t="str">
        <x:v>保守</x:v>
      </x:c>
      <x:c r="I15" s="39" t="str">
        <x:v>保守A</x:v>
      </x:c>
      <x:c r="J15" s="52" t="n">
        <x:v>2</x:v>
      </x:c>
      <x:c r="K15" s="56" t="n">
        <x:v>120000</x:v>
      </x:c>
      <x:c r="L15" s="56" t="n">
        <x:v>240000</x:v>
      </x:c>
      <x:c r="M15" s="39" t="str">
        <x:v>完了</x:v>
      </x:c>
      <x:c r="N15" s="39" t="str">
        <x:v>電話</x:v>
      </x:c>
      <x:c r="O15" s="39" t="str"/>
      <x:c r="T15" s="39" t="str">
        <x:v>R0012</x:v>
      </x:c>
      <x:c r="U15" s="39" t="n">
        <x:f>COUNTIF(A4:A100,T15)</x:f>
        <x:v>1</x:v>
      </x:c>
    </x:row>
    <x:row r="16">
      <x:c r="B16" s="45"/>
      <x:c r="C16" s="49"/>
      <x:c r="J16" s="53"/>
      <x:c r="K16" s="57"/>
      <x:c r="L16" s="57"/>
    </x:row>
    <x:row r="17">
      <x:c r="B17" s="45"/>
      <x:c r="C17" s="49"/>
      <x:c r="J17" s="53"/>
      <x:c r="K17" s="57"/>
      <x:c r="L17" s="57"/>
    </x:row>
    <x:row r="18">
      <x:c r="B18" s="45"/>
      <x:c r="C18" s="49"/>
      <x:c r="J18" s="53"/>
      <x:c r="K18" s="57"/>
      <x:c r="L18" s="57"/>
    </x:row>
    <x:row r="19">
      <x:c r="B19" s="45"/>
      <x:c r="C19" s="49"/>
      <x:c r="J19" s="53"/>
      <x:c r="K19" s="57"/>
      <x:c r="L19" s="57"/>
    </x:row>
    <x:row r="20">
      <x:c r="B20" s="45"/>
      <x:c r="C20" s="49"/>
      <x:c r="J20" s="53"/>
      <x:c r="K20" s="57"/>
      <x:c r="L20" s="57"/>
    </x:row>
    <x:row r="21">
      <x:c r="B21" s="45"/>
      <x:c r="C21" s="49"/>
      <x:c r="J21" s="53"/>
      <x:c r="K21" s="57"/>
      <x:c r="L21" s="57"/>
    </x:row>
    <x:row r="22">
      <x:c r="B22" s="45"/>
      <x:c r="C22" s="49"/>
      <x:c r="J22" s="53"/>
      <x:c r="K22" s="57"/>
      <x:c r="L22" s="57"/>
    </x:row>
    <x:row r="23">
      <x:c r="B23" s="45"/>
      <x:c r="C23" s="49"/>
      <x:c r="J23" s="53"/>
      <x:c r="K23" s="57"/>
      <x:c r="L23" s="57"/>
    </x:row>
    <x:row r="24">
      <x:c r="B24" s="45"/>
      <x:c r="C24" s="49"/>
      <x:c r="J24" s="53"/>
      <x:c r="K24" s="57"/>
      <x:c r="L24" s="57"/>
    </x:row>
    <x:row r="25">
      <x:c r="B25" s="45"/>
      <x:c r="C25" s="49"/>
      <x:c r="J25" s="53"/>
      <x:c r="K25" s="57"/>
      <x:c r="L25" s="57"/>
    </x:row>
    <x:row r="26">
      <x:c r="B26" s="45"/>
      <x:c r="C26" s="49"/>
      <x:c r="J26" s="53"/>
      <x:c r="K26" s="57"/>
      <x:c r="L26" s="57"/>
    </x:row>
    <x:row r="27">
      <x:c r="B27" s="45"/>
      <x:c r="C27" s="49"/>
      <x:c r="J27" s="53"/>
      <x:c r="K27" s="57"/>
      <x:c r="L27" s="57"/>
    </x:row>
    <x:row r="28">
      <x:c r="B28" s="45"/>
      <x:c r="C28" s="49"/>
      <x:c r="J28" s="53"/>
      <x:c r="K28" s="57"/>
      <x:c r="L28" s="57"/>
    </x:row>
    <x:row r="29">
      <x:c r="B29" s="45"/>
      <x:c r="C29" s="49"/>
      <x:c r="J29" s="53"/>
      <x:c r="K29" s="57"/>
      <x:c r="L29" s="57"/>
    </x:row>
    <x:row r="30">
      <x:c r="B30" s="45"/>
      <x:c r="C30" s="49"/>
      <x:c r="J30" s="53"/>
      <x:c r="K30" s="57"/>
      <x:c r="L30" s="57"/>
    </x:row>
    <x:row r="31">
      <x:c r="B31" s="45"/>
      <x:c r="C31" s="49"/>
      <x:c r="J31" s="53"/>
      <x:c r="K31" s="57"/>
      <x:c r="L31" s="57"/>
    </x:row>
    <x:row r="32">
      <x:c r="B32" s="45"/>
      <x:c r="C32" s="49"/>
      <x:c r="J32" s="53"/>
      <x:c r="K32" s="57"/>
      <x:c r="L32" s="57"/>
    </x:row>
    <x:row r="33">
      <x:c r="B33" s="45"/>
      <x:c r="C33" s="49"/>
      <x:c r="J33" s="53"/>
      <x:c r="K33" s="57"/>
      <x:c r="L33" s="57"/>
    </x:row>
    <x:row r="34">
      <x:c r="B34" s="45"/>
      <x:c r="C34" s="49"/>
      <x:c r="J34" s="53"/>
      <x:c r="K34" s="57"/>
      <x:c r="L34" s="57"/>
    </x:row>
    <x:row r="35">
      <x:c r="B35" s="45"/>
      <x:c r="C35" s="49"/>
      <x:c r="J35" s="53"/>
      <x:c r="K35" s="57"/>
      <x:c r="L35" s="57"/>
    </x:row>
    <x:row r="36">
      <x:c r="B36" s="45"/>
      <x:c r="C36" s="49"/>
      <x:c r="J36" s="53"/>
      <x:c r="K36" s="57"/>
      <x:c r="L36" s="57"/>
    </x:row>
    <x:row r="37">
      <x:c r="B37" s="45"/>
      <x:c r="C37" s="49"/>
      <x:c r="J37" s="53"/>
      <x:c r="K37" s="57"/>
      <x:c r="L37" s="57"/>
    </x:row>
    <x:row r="38">
      <x:c r="B38" s="45"/>
      <x:c r="C38" s="49"/>
      <x:c r="J38" s="53"/>
      <x:c r="K38" s="57"/>
      <x:c r="L38" s="57"/>
    </x:row>
    <x:row r="39">
      <x:c r="B39" s="45"/>
      <x:c r="C39" s="49"/>
      <x:c r="J39" s="53"/>
      <x:c r="K39" s="57"/>
      <x:c r="L39" s="57"/>
    </x:row>
    <x:row r="40">
      <x:c r="B40" s="45"/>
      <x:c r="C40" s="49"/>
      <x:c r="J40" s="53"/>
      <x:c r="K40" s="57"/>
      <x:c r="L40" s="57"/>
    </x:row>
    <x:row r="41">
      <x:c r="B41" s="45"/>
      <x:c r="C41" s="49"/>
      <x:c r="J41" s="53"/>
      <x:c r="K41" s="57"/>
      <x:c r="L41" s="57"/>
    </x:row>
    <x:row r="42">
      <x:c r="B42" s="45"/>
      <x:c r="C42" s="49"/>
      <x:c r="J42" s="53"/>
      <x:c r="K42" s="57"/>
      <x:c r="L42" s="57"/>
    </x:row>
    <x:row r="43">
      <x:c r="B43" s="45"/>
      <x:c r="C43" s="49"/>
      <x:c r="J43" s="53"/>
      <x:c r="K43" s="57"/>
      <x:c r="L43" s="57"/>
    </x:row>
    <x:row r="44">
      <x:c r="B44" s="45"/>
      <x:c r="C44" s="49"/>
      <x:c r="J44" s="53"/>
      <x:c r="K44" s="57"/>
      <x:c r="L44" s="57"/>
    </x:row>
    <x:row r="45">
      <x:c r="B45" s="45"/>
      <x:c r="C45" s="49"/>
      <x:c r="J45" s="53"/>
      <x:c r="K45" s="57"/>
      <x:c r="L45" s="57"/>
    </x:row>
    <x:row r="46">
      <x:c r="B46" s="45"/>
      <x:c r="C46" s="49"/>
      <x:c r="J46" s="53"/>
      <x:c r="K46" s="57"/>
      <x:c r="L46" s="57"/>
    </x:row>
    <x:row r="47">
      <x:c r="B47" s="45"/>
      <x:c r="C47" s="49"/>
      <x:c r="J47" s="53"/>
      <x:c r="K47" s="57"/>
      <x:c r="L47" s="57"/>
    </x:row>
    <x:row r="48">
      <x:c r="B48" s="45"/>
      <x:c r="C48" s="49"/>
      <x:c r="J48" s="53"/>
      <x:c r="K48" s="57"/>
      <x:c r="L48" s="57"/>
    </x:row>
    <x:row r="49">
      <x:c r="B49" s="45"/>
      <x:c r="C49" s="49"/>
      <x:c r="J49" s="53"/>
      <x:c r="K49" s="57"/>
      <x:c r="L49" s="57"/>
    </x:row>
    <x:row r="50">
      <x:c r="B50" s="45"/>
      <x:c r="C50" s="49"/>
      <x:c r="J50" s="53"/>
      <x:c r="K50" s="57"/>
      <x:c r="L50" s="57"/>
    </x:row>
    <x:row r="51">
      <x:c r="B51" s="45"/>
      <x:c r="C51" s="49"/>
      <x:c r="J51" s="53"/>
      <x:c r="K51" s="57"/>
      <x:c r="L51" s="57"/>
    </x:row>
    <x:row r="52">
      <x:c r="B52" s="45"/>
      <x:c r="C52" s="49"/>
      <x:c r="J52" s="53"/>
      <x:c r="K52" s="57"/>
      <x:c r="L52" s="57"/>
    </x:row>
    <x:row r="53">
      <x:c r="B53" s="45"/>
      <x:c r="C53" s="49"/>
      <x:c r="J53" s="53"/>
      <x:c r="K53" s="57"/>
      <x:c r="L53" s="57"/>
    </x:row>
    <x:row r="54">
      <x:c r="B54" s="45"/>
      <x:c r="C54" s="49"/>
      <x:c r="J54" s="53"/>
      <x:c r="K54" s="57"/>
      <x:c r="L54" s="57"/>
    </x:row>
    <x:row r="55">
      <x:c r="B55" s="45"/>
      <x:c r="C55" s="49"/>
      <x:c r="J55" s="53"/>
      <x:c r="K55" s="57"/>
      <x:c r="L55" s="57"/>
    </x:row>
    <x:row r="56">
      <x:c r="B56" s="45"/>
      <x:c r="C56" s="49"/>
      <x:c r="J56" s="53"/>
      <x:c r="K56" s="57"/>
      <x:c r="L56" s="57"/>
    </x:row>
    <x:row r="57">
      <x:c r="B57" s="45"/>
      <x:c r="C57" s="49"/>
      <x:c r="J57" s="53"/>
      <x:c r="K57" s="57"/>
      <x:c r="L57" s="57"/>
    </x:row>
    <x:row r="58">
      <x:c r="B58" s="45"/>
      <x:c r="C58" s="49"/>
      <x:c r="J58" s="53"/>
      <x:c r="K58" s="57"/>
      <x:c r="L58" s="57"/>
    </x:row>
    <x:row r="59">
      <x:c r="B59" s="45"/>
      <x:c r="C59" s="49"/>
      <x:c r="J59" s="53"/>
      <x:c r="K59" s="57"/>
      <x:c r="L59" s="57"/>
    </x:row>
    <x:row r="60">
      <x:c r="B60" s="45"/>
      <x:c r="C60" s="49"/>
      <x:c r="J60" s="53"/>
      <x:c r="K60" s="57"/>
      <x:c r="L60" s="57"/>
    </x:row>
    <x:row r="61">
      <x:c r="B61" s="45"/>
      <x:c r="C61" s="49"/>
      <x:c r="J61" s="53"/>
      <x:c r="K61" s="57"/>
      <x:c r="L61" s="57"/>
    </x:row>
    <x:row r="62">
      <x:c r="B62" s="45"/>
      <x:c r="C62" s="49"/>
      <x:c r="J62" s="53"/>
      <x:c r="K62" s="57"/>
      <x:c r="L62" s="57"/>
    </x:row>
    <x:row r="63">
      <x:c r="B63" s="45"/>
      <x:c r="C63" s="49"/>
      <x:c r="J63" s="53"/>
      <x:c r="K63" s="57"/>
      <x:c r="L63" s="57"/>
    </x:row>
    <x:row r="64">
      <x:c r="B64" s="45"/>
      <x:c r="C64" s="49"/>
      <x:c r="J64" s="53"/>
      <x:c r="K64" s="57"/>
      <x:c r="L64" s="57"/>
    </x:row>
    <x:row r="65">
      <x:c r="B65" s="45"/>
      <x:c r="C65" s="49"/>
      <x:c r="J65" s="53"/>
      <x:c r="K65" s="57"/>
      <x:c r="L65" s="57"/>
    </x:row>
    <x:row r="66">
      <x:c r="B66" s="45"/>
      <x:c r="C66" s="49"/>
      <x:c r="J66" s="53"/>
      <x:c r="K66" s="57"/>
      <x:c r="L66" s="57"/>
    </x:row>
    <x:row r="67">
      <x:c r="B67" s="45"/>
      <x:c r="C67" s="49"/>
      <x:c r="J67" s="53"/>
      <x:c r="K67" s="57"/>
      <x:c r="L67" s="57"/>
    </x:row>
    <x:row r="68">
      <x:c r="B68" s="45"/>
      <x:c r="C68" s="49"/>
      <x:c r="J68" s="53"/>
      <x:c r="K68" s="57"/>
      <x:c r="L68" s="57"/>
    </x:row>
    <x:row r="69">
      <x:c r="B69" s="45"/>
      <x:c r="C69" s="49"/>
      <x:c r="J69" s="53"/>
      <x:c r="K69" s="57"/>
      <x:c r="L69" s="57"/>
    </x:row>
    <x:row r="70">
      <x:c r="B70" s="45"/>
      <x:c r="C70" s="49"/>
      <x:c r="J70" s="53"/>
      <x:c r="K70" s="57"/>
      <x:c r="L70" s="57"/>
    </x:row>
    <x:row r="71">
      <x:c r="B71" s="45"/>
      <x:c r="C71" s="49"/>
      <x:c r="J71" s="53"/>
      <x:c r="K71" s="57"/>
      <x:c r="L71" s="57"/>
    </x:row>
    <x:row r="72">
      <x:c r="B72" s="45"/>
      <x:c r="C72" s="49"/>
      <x:c r="J72" s="53"/>
      <x:c r="K72" s="57"/>
      <x:c r="L72" s="57"/>
    </x:row>
    <x:row r="73">
      <x:c r="B73" s="45"/>
      <x:c r="C73" s="49"/>
      <x:c r="J73" s="53"/>
      <x:c r="K73" s="57"/>
      <x:c r="L73" s="57"/>
    </x:row>
    <x:row r="74">
      <x:c r="B74" s="45"/>
      <x:c r="C74" s="49"/>
      <x:c r="J74" s="53"/>
      <x:c r="K74" s="57"/>
      <x:c r="L74" s="57"/>
    </x:row>
    <x:row r="75">
      <x:c r="B75" s="45"/>
      <x:c r="C75" s="49"/>
      <x:c r="J75" s="53"/>
      <x:c r="K75" s="57"/>
      <x:c r="L75" s="57"/>
    </x:row>
    <x:row r="76">
      <x:c r="B76" s="45"/>
      <x:c r="C76" s="49"/>
      <x:c r="J76" s="53"/>
      <x:c r="K76" s="57"/>
      <x:c r="L76" s="57"/>
    </x:row>
    <x:row r="77">
      <x:c r="B77" s="45"/>
      <x:c r="C77" s="49"/>
      <x:c r="J77" s="53"/>
      <x:c r="K77" s="57"/>
      <x:c r="L77" s="57"/>
    </x:row>
    <x:row r="78">
      <x:c r="B78" s="45"/>
      <x:c r="C78" s="49"/>
      <x:c r="J78" s="53"/>
      <x:c r="K78" s="57"/>
      <x:c r="L78" s="57"/>
    </x:row>
    <x:row r="79">
      <x:c r="B79" s="45"/>
      <x:c r="C79" s="49"/>
      <x:c r="J79" s="53"/>
      <x:c r="K79" s="57"/>
      <x:c r="L79" s="57"/>
    </x:row>
    <x:row r="80">
      <x:c r="B80" s="45"/>
      <x:c r="C80" s="49"/>
      <x:c r="J80" s="53"/>
      <x:c r="K80" s="57"/>
      <x:c r="L80" s="57"/>
    </x:row>
    <x:row r="81">
      <x:c r="B81" s="45"/>
      <x:c r="C81" s="49"/>
      <x:c r="J81" s="53"/>
      <x:c r="K81" s="57"/>
      <x:c r="L81" s="57"/>
    </x:row>
    <x:row r="82">
      <x:c r="B82" s="45"/>
      <x:c r="C82" s="49"/>
      <x:c r="J82" s="53"/>
      <x:c r="K82" s="57"/>
      <x:c r="L82" s="57"/>
    </x:row>
    <x:row r="83">
      <x:c r="B83" s="45"/>
      <x:c r="C83" s="49"/>
      <x:c r="J83" s="53"/>
      <x:c r="K83" s="57"/>
      <x:c r="L83" s="57"/>
    </x:row>
    <x:row r="84">
      <x:c r="B84" s="45"/>
      <x:c r="C84" s="49"/>
      <x:c r="J84" s="53"/>
      <x:c r="K84" s="57"/>
      <x:c r="L84" s="57"/>
    </x:row>
    <x:row r="85">
      <x:c r="B85" s="45"/>
      <x:c r="C85" s="49"/>
      <x:c r="J85" s="53"/>
      <x:c r="K85" s="57"/>
      <x:c r="L85" s="57"/>
    </x:row>
    <x:row r="86">
      <x:c r="B86" s="45"/>
      <x:c r="C86" s="49"/>
      <x:c r="J86" s="53"/>
      <x:c r="K86" s="57"/>
      <x:c r="L86" s="57"/>
    </x:row>
    <x:row r="87">
      <x:c r="B87" s="45"/>
      <x:c r="C87" s="49"/>
      <x:c r="J87" s="53"/>
      <x:c r="K87" s="57"/>
      <x:c r="L87" s="57"/>
    </x:row>
    <x:row r="88">
      <x:c r="B88" s="45"/>
      <x:c r="C88" s="49"/>
      <x:c r="J88" s="53"/>
      <x:c r="K88" s="57"/>
      <x:c r="L88" s="57"/>
    </x:row>
    <x:row r="89">
      <x:c r="B89" s="45"/>
      <x:c r="C89" s="49"/>
      <x:c r="J89" s="53"/>
      <x:c r="K89" s="57"/>
      <x:c r="L89" s="57"/>
    </x:row>
    <x:row r="90">
      <x:c r="B90" s="45"/>
      <x:c r="C90" s="49"/>
      <x:c r="J90" s="53"/>
      <x:c r="K90" s="57"/>
      <x:c r="L90" s="57"/>
    </x:row>
    <x:row r="91">
      <x:c r="B91" s="45"/>
      <x:c r="C91" s="49"/>
      <x:c r="J91" s="53"/>
      <x:c r="K91" s="57"/>
      <x:c r="L91" s="57"/>
    </x:row>
    <x:row r="92">
      <x:c r="B92" s="45"/>
      <x:c r="C92" s="49"/>
      <x:c r="J92" s="53"/>
      <x:c r="K92" s="57"/>
      <x:c r="L92" s="57"/>
    </x:row>
    <x:row r="93">
      <x:c r="B93" s="45"/>
      <x:c r="C93" s="49"/>
      <x:c r="J93" s="53"/>
      <x:c r="K93" s="57"/>
      <x:c r="L93" s="57"/>
    </x:row>
    <x:row r="94">
      <x:c r="B94" s="45"/>
      <x:c r="C94" s="49"/>
      <x:c r="J94" s="53"/>
      <x:c r="K94" s="57"/>
      <x:c r="L94" s="57"/>
    </x:row>
    <x:row r="95">
      <x:c r="B95" s="45"/>
      <x:c r="C95" s="49"/>
      <x:c r="J95" s="53"/>
      <x:c r="K95" s="57"/>
      <x:c r="L95" s="57"/>
    </x:row>
    <x:row r="96">
      <x:c r="B96" s="45"/>
      <x:c r="C96" s="49"/>
      <x:c r="J96" s="53"/>
      <x:c r="K96" s="57"/>
      <x:c r="L96" s="57"/>
    </x:row>
    <x:row r="97">
      <x:c r="B97" s="45"/>
      <x:c r="C97" s="49"/>
      <x:c r="J97" s="53"/>
      <x:c r="K97" s="57"/>
      <x:c r="L97" s="57"/>
    </x:row>
    <x:row r="98">
      <x:c r="B98" s="45"/>
      <x:c r="C98" s="49"/>
      <x:c r="J98" s="53"/>
      <x:c r="K98" s="57"/>
      <x:c r="L98" s="57"/>
    </x:row>
    <x:row r="99">
      <x:c r="B99" s="45"/>
      <x:c r="C99" s="49"/>
      <x:c r="J99" s="53"/>
      <x:c r="K99" s="57"/>
      <x:c r="L99" s="57"/>
    </x:row>
    <x:row r="100">
      <x:c r="B100" s="45"/>
      <x:c r="C100" s="49"/>
      <x:c r="J100" s="53"/>
      <x:c r="K100" s="57"/>
      <x:c r="L100" s="57"/>
    </x:row>
  </x:sheetData>
  <x:mergeCells>
    <x:mergeCell ref="A1:O2"/>
  </x:mergeCells>
  <x:pageMargins left="0.7" right="0.7" top="0.75" bottom="0.75" header="0.3" footer="0.3"/>
  <x:tableParts count="1">
    <x:tablePart xmlns:r="http://schemas.openxmlformats.org/officeDocument/2006/relationships" r:id="Rb139ad1cac0947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2" hidden="0" customWidth="1"/>
    <x:col min="5" max="5" width="20" hidden="0" customWidth="1"/>
    <x:col min="6" max="6" width="16" hidden="0" customWidth="1"/>
    <x:col min="7" max="7" width="18" hidden="0" customWidth="1"/>
    <x:col min="8" max="8" width="15" hidden="0" customWidth="1"/>
    <x:col min="9" max="9" width="30" hidden="0" customWidth="1"/>
  </x:cols>
  <x:sheetData>
    <x:row r="1" ht="34" customHeight="1">
      <x:c r="A1" s="6" t="str">
        <x:v>作成する2つのピボットテーブル</x:v>
      </x:c>
      <x:c r="B1" s="6"/>
      <x:c r="C1" s="6"/>
      <x:c r="D1" s="6"/>
      <x:c r="E1" s="6"/>
      <x:c r="F1" s="6"/>
      <x:c r="G1" s="6"/>
      <x:c r="H1" s="6"/>
      <x:c r="I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4">
      <x:c r="A4" s="16" t="str">
        <x:v>ピボット名</x:v>
      </x:c>
      <x:c r="B4" s="16" t="str">
        <x:v>目的</x:v>
      </x:c>
      <x:c r="C4" s="16" t="str">
        <x:v>行</x:v>
      </x:c>
      <x:c r="D4" s="16" t="str">
        <x:v>列</x:v>
      </x:c>
      <x:c r="E4" s="16" t="str">
        <x:v>値</x:v>
      </x:c>
      <x:c r="F4" s="16" t="str">
        <x:v>集計方法</x:v>
      </x:c>
      <x:c r="G4" s="16" t="str">
        <x:v>フィルター</x:v>
      </x:c>
      <x:c r="H4" s="16" t="str">
        <x:v>表示形式</x:v>
      </x:c>
      <x:c r="I4" s="16" t="str">
        <x:v>標準結果</x:v>
      </x:c>
    </x:row>
    <x:row r="5">
      <x:c r="A5" s="39" t="str">
        <x:v>P1_月別売上</x:v>
      </x:c>
      <x:c r="B5" s="39" t="str">
        <x:v>月ごとの売上を確認</x:v>
      </x:c>
      <x:c r="C5" s="39" t="str">
        <x:v>年月</x:v>
      </x:c>
      <x:c r="D5" s="39" t="str">
        <x:v>なし</x:v>
      </x:c>
      <x:c r="E5" s="39" t="str">
        <x:v>売上金額</x:v>
      </x:c>
      <x:c r="F5" s="39" t="str">
        <x:v>合計</x:v>
      </x:c>
      <x:c r="G5" s="39" t="str">
        <x:v>地域</x:v>
      </x:c>
      <x:c r="H5" s="39" t="str">
        <x:v>#,##0</x:v>
      </x:c>
      <x:c r="I5" s="39" t="str">
        <x:v>2026-05：1,780,000</x:v>
      </x:c>
    </x:row>
    <x:row r="6">
      <x:c r="A6" s="39" t="str">
        <x:v>P2_部門別件数</x:v>
      </x:c>
      <x:c r="B6" s="39" t="str">
        <x:v>部門ごとの実績数を確認</x:v>
      </x:c>
      <x:c r="C6" s="39" t="str">
        <x:v>部門</x:v>
      </x:c>
      <x:c r="D6" s="39" t="str">
        <x:v>なし</x:v>
      </x:c>
      <x:c r="E6" s="39" t="str">
        <x:v>実績ID</x:v>
      </x:c>
      <x:c r="F6" s="39" t="str">
        <x:v>個数</x:v>
      </x:c>
      <x:c r="G6" s="39" t="str">
        <x:v>なし</x:v>
      </x:c>
      <x:c r="H6" s="39" t="str">
        <x:v>0</x:v>
      </x:c>
      <x:c r="I6" s="39" t="str">
        <x:v>各4件・総計12</x:v>
      </x:c>
    </x:row>
    <x:row r="8">
      <x:c r="A8" s="16" t="str">
        <x:v>順番</x:v>
      </x:c>
      <x:c r="B8" s="16" t="str">
        <x:v>操作</x:v>
      </x:c>
      <x:c r="C8" s="16" t="str">
        <x:v>確認すること</x:v>
      </x:c>
      <x:c r="D8" s="16" t="str">
        <x:v>うまくいかない場合</x:v>
      </x:c>
      <x:c r="E8" s="16" t="str">
        <x:v>完了</x:v>
      </x:c>
    </x:row>
    <x:row r="9">
      <x:c r="A9" s="24" t="n">
        <x:v>1</x:v>
      </x:c>
      <x:c r="B9" s="24" t="str">
        <x:v>元データ表内を選択</x:v>
      </x:c>
      <x:c r="C9" s="24" t="str">
        <x:v>月次実績テーブル内のセル</x:v>
      </x:c>
      <x:c r="D9" s="24" t="str">
        <x:v>表全体をドラッグしない</x:v>
      </x:c>
      <x:c r="E9" s="24" t="str">
        <x:v>未確認</x:v>
      </x:c>
    </x:row>
    <x:row r="10">
      <x:c r="A10" s="24" t="n">
        <x:v>2</x:v>
      </x:c>
      <x:c r="B10" s="24" t="str">
        <x:v>挿入→ピボットテーブル</x:v>
      </x:c>
      <x:c r="C10" s="24" t="str">
        <x:v>元データ名が月次実績テーブル</x:v>
      </x:c>
      <x:c r="D10" s="24" t="str">
        <x:v>読み取り専用なら講師へ連絡</x:v>
      </x:c>
      <x:c r="E10" s="24" t="str">
        <x:v>未確認</x:v>
      </x:c>
    </x:row>
    <x:row r="11">
      <x:c r="A11" s="24" t="n">
        <x:v>3</x:v>
      </x:c>
      <x:c r="B11" s="24" t="str">
        <x:v>新しいワークシート</x:v>
      </x:c>
      <x:c r="C11" s="24" t="str">
        <x:v>新しいシートが追加</x:v>
      </x:c>
      <x:c r="D11" s="24" t="str">
        <x:v>既存シートへ重ねない</x:v>
      </x:c>
      <x:c r="E11" s="24" t="str">
        <x:v>未確認</x:v>
      </x:c>
    </x:row>
    <x:row r="12">
      <x:c r="A12" s="24" t="n">
        <x:v>4</x:v>
      </x:c>
      <x:c r="B12" s="24" t="str">
        <x:v>行へ分類項目</x:v>
      </x:c>
      <x:c r="C12" s="24" t="str">
        <x:v>P1は年月、P2は部門</x:v>
      </x:c>
      <x:c r="D12" s="24" t="str">
        <x:v>目的を確認</x:v>
      </x:c>
      <x:c r="E12" s="24" t="str">
        <x:v>未確認</x:v>
      </x:c>
    </x:row>
    <x:row r="13">
      <x:c r="A13" s="24" t="n">
        <x:v>5</x:v>
      </x:c>
      <x:c r="B13" s="24" t="str">
        <x:v>値へ計算項目</x:v>
      </x:c>
      <x:c r="C13" s="24" t="str">
        <x:v>P1は売上金額、P2は実績ID</x:v>
      </x:c>
      <x:c r="D13" s="24" t="str">
        <x:v>値の項目を確認</x:v>
      </x:c>
      <x:c r="E13" s="24" t="str">
        <x:v>未確認</x:v>
      </x:c>
    </x:row>
    <x:row r="14">
      <x:c r="A14" s="24" t="n">
        <x:v>6</x:v>
      </x:c>
      <x:c r="B14" s="24" t="str">
        <x:v>集計方法</x:v>
      </x:c>
      <x:c r="C14" s="24" t="str">
        <x:v>P1は合計、P2は個数</x:v>
      </x:c>
      <x:c r="D14" s="24" t="str">
        <x:v>値フィールドの設定を確認</x:v>
      </x:c>
      <x:c r="E14" s="24" t="str">
        <x:v>未確認</x:v>
      </x:c>
    </x:row>
    <x:row r="15">
      <x:c r="A15" s="24" t="n">
        <x:v>7</x:v>
      </x:c>
      <x:c r="B15" s="24" t="str">
        <x:v>シート名変更</x:v>
      </x:c>
      <x:c r="C15" s="24" t="str">
        <x:v>P1_月別売上・P2_部門別件数</x:v>
      </x:c>
      <x:c r="D15" s="24" t="str">
        <x:v>名前をコピーして使用</x:v>
      </x:c>
      <x:c r="E15" s="24" t="str">
        <x:v>未確認</x:v>
      </x:c>
    </x:row>
    <x:row r="16">
      <x:c r="A16" s="24" t="n">
        <x:v>8</x:v>
      </x:c>
      <x:c r="B16" s="24" t="str">
        <x:v>元データと照合</x:v>
      </x:c>
      <x:c r="C16" s="24" t="str">
        <x:v>P1総計1,780,000・P2総計12</x:v>
      </x:c>
      <x:c r="D16" s="24" t="str">
        <x:v>フィルターと更新を確認</x:v>
      </x:c>
      <x:c r="E16" s="24" t="str">
        <x:v>未確認</x:v>
      </x:c>
    </x:row>
    <x:row r="18">
      <x:c r="A18" s="16" t="str">
        <x:v>迷ったときの確認順</x:v>
      </x:c>
      <x:c r="B18" s="16" t="str">
        <x:v>内容</x:v>
      </x:c>
    </x:row>
    <x:row r="19">
      <x:c r="A19" s="65" t="str">
        <x:v>1</x:v>
      </x:c>
      <x:c r="B19" s="65" t="str">
        <x:v>何を確認したいか</x:v>
      </x:c>
    </x:row>
    <x:row r="20">
      <x:c r="A20" s="65" t="str">
        <x:v>2</x:v>
      </x:c>
      <x:c r="B20" s="65" t="str">
        <x:v>行へ置く分類項目</x:v>
      </x:c>
    </x:row>
    <x:row r="21">
      <x:c r="A21" s="65" t="str">
        <x:v>3</x:v>
      </x:c>
      <x:c r="B21" s="65" t="str">
        <x:v>値へ置く計算項目</x:v>
      </x:c>
    </x:row>
    <x:row r="22">
      <x:c r="A22" s="65" t="str">
        <x:v>4</x:v>
      </x:c>
      <x:c r="B22" s="65" t="str">
        <x:v>合計・個数・平均</x:v>
      </x:c>
    </x:row>
    <x:row r="23">
      <x:c r="A23" s="65" t="str">
        <x:v>5</x:v>
      </x:c>
      <x:c r="B23" s="65" t="str">
        <x:v>フィルター条件</x:v>
      </x:c>
    </x:row>
    <x:row r="24">
      <x:c r="A24" s="65" t="str">
        <x:v>6</x:v>
      </x:c>
      <x:c r="B24" s="65" t="str">
        <x:v>更新したか</x:v>
      </x:c>
    </x:row>
    <x:row r="25">
      <x:c r="A25" s="65" t="str">
        <x:v>7</x:v>
      </x:c>
      <x:c r="B25" s="65" t="str">
        <x:v>総計が元データと一致するか</x:v>
      </x:c>
    </x:row>
  </x:sheetData>
  <x:mergeCells>
    <x:mergeCell ref="A1:I2"/>
  </x:mergeCells>
  <x:dataValidations count="1">
    <x:dataValidation type="list" sqref="E9:E16">
      <x:formula1>"未確認,OK,要確認"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6" hidden="0" customWidth="1"/>
    <x:col min="7" max="7" width="24" hidden="0" customWidth="1"/>
    <x:col min="8" max="8" width="15" hidden="0" customWidth="1"/>
  </x:cols>
  <x:sheetData>
    <x:row r="1" ht="34" customHeight="1">
      <x:c r="A1" s="6" t="str">
        <x:v>ピボット作成後に比較する期待値</x:v>
      </x:c>
      <x:c r="B1" s="6"/>
      <x:c r="C1" s="6"/>
      <x:c r="D1" s="6"/>
      <x:c r="E1" s="6"/>
      <x:c r="F1" s="6"/>
      <x:c r="G1" s="6"/>
      <x:c r="H1" s="6"/>
    </x:row>
    <x:row r="2" ht="34" customHeight="1">
      <x:c r="A2" s="6"/>
      <x:c r="B2" s="6"/>
      <x:c r="C2" s="6"/>
      <x:c r="D2" s="6"/>
      <x:c r="E2" s="6"/>
      <x:c r="F2" s="6"/>
      <x:c r="G2" s="6"/>
      <x:c r="H2" s="6"/>
    </x:row>
    <x:row r="4">
      <x:c r="A4" s="16" t="str">
        <x:v>P1_月別売上</x:v>
      </x:c>
      <x:c r="B4" s="16" t="str">
        <x:v>売上金額</x:v>
      </x:c>
      <x:c r="D4" s="16" t="str">
        <x:v>P2_部門別件数</x:v>
      </x:c>
      <x:c r="E4" s="16" t="str">
        <x:v>件数</x:v>
      </x:c>
    </x:row>
    <x:row r="5">
      <x:c r="A5" s="73" t="str">
        <x:v>2026-05</x:v>
      </x:c>
      <x:c r="B5" s="78" t="n">
        <x:v>1780000</x:v>
      </x:c>
      <x:c r="D5" s="73" t="str">
        <x:v>営業1課</x:v>
      </x:c>
      <x:c r="E5" s="73" t="n">
        <x:v>4</x:v>
      </x:c>
    </x:row>
    <x:row r="6">
      <x:c r="A6" s="73" t="str">
        <x:v>総計</x:v>
      </x:c>
      <x:c r="B6" s="78" t="n">
        <x:v>1780000</x:v>
      </x:c>
      <x:c r="D6" s="73" t="str">
        <x:v>営業2課</x:v>
      </x:c>
      <x:c r="E6" s="73" t="n">
        <x:v>4</x:v>
      </x:c>
    </x:row>
    <x:row r="7">
      <x:c r="D7" s="73" t="str">
        <x:v>技術部</x:v>
      </x:c>
      <x:c r="E7" s="73" t="n">
        <x:v>4</x:v>
      </x:c>
    </x:row>
    <x:row r="8">
      <x:c r="D8" s="73" t="str">
        <x:v>総計</x:v>
      </x:c>
      <x:c r="E8" s="73" t="n">
        <x:v>12</x:v>
      </x:c>
    </x:row>
    <x:row r="10">
      <x:c r="A10" s="16" t="str">
        <x:v>地域フィルター</x:v>
      </x:c>
      <x:c r="B10" s="16" t="str">
        <x:v>年月</x:v>
      </x:c>
      <x:c r="C10" s="16" t="str">
        <x:v>売上金額</x:v>
      </x:c>
    </x:row>
    <x:row r="11">
      <x:c r="A11" s="73" t="str">
        <x:v>関西</x:v>
      </x:c>
      <x:c r="B11" s="73" t="str">
        <x:v>2026-05</x:v>
      </x:c>
      <x:c r="C11" s="78" t="n">
        <x:v>740000</x:v>
      </x:c>
    </x:row>
    <x:row r="12">
      <x:c r="A12" s="73" t="str">
        <x:v>すべて</x:v>
      </x:c>
      <x:c r="B12" s="73" t="str">
        <x:v>2026-05</x:v>
      </x:c>
      <x:c r="C12" s="78" t="n">
        <x:v>1780000</x:v>
      </x:c>
    </x:row>
    <x:row r="15">
      <x:c r="A15" s="16" t="str">
        <x:v>参考：担当者別売上</x:v>
      </x:c>
      <x:c r="B15" s="16" t="str">
        <x:v>売上金額</x:v>
      </x:c>
      <x:c r="D15" s="16" t="str">
        <x:v>参考：サービス別売上</x:v>
      </x:c>
      <x:c r="E15" s="16" t="str">
        <x:v>売上金額</x:v>
      </x:c>
      <x:c r="G15" s="16" t="str">
        <x:v>参考：ステータス別</x:v>
      </x:c>
      <x:c r="H15" s="16" t="str">
        <x:v>件数</x:v>
      </x:c>
    </x:row>
    <x:row r="16">
      <x:c r="A16" s="39" t="str">
        <x:v>田中一郎</x:v>
      </x:c>
      <x:c r="B16" s="56" t="n">
        <x:v>340000</x:v>
      </x:c>
      <x:c r="D16" s="39" t="str">
        <x:v>保守A</x:v>
      </x:c>
      <x:c r="E16" s="56" t="n">
        <x:v>840000</x:v>
      </x:c>
      <x:c r="G16" s="39" t="str">
        <x:v>未着手</x:v>
      </x:c>
      <x:c r="H16" s="39" t="n">
        <x:v>0</x:v>
      </x:c>
    </x:row>
    <x:row r="17">
      <x:c r="A17" s="39" t="str">
        <x:v>鈴木花子</x:v>
      </x:c>
      <x:c r="B17" s="56" t="n">
        <x:v>320000</x:v>
      </x:c>
      <x:c r="D17" s="39" t="str">
        <x:v>導入B</x:v>
      </x:c>
      <x:c r="E17" s="56" t="n">
        <x:v>640000</x:v>
      </x:c>
      <x:c r="G17" s="39" t="str">
        <x:v>進行中</x:v>
      </x:c>
      <x:c r="H17" s="39" t="n">
        <x:v>3</x:v>
      </x:c>
    </x:row>
    <x:row r="18">
      <x:c r="A18" s="39" t="str">
        <x:v>伊藤美咲</x:v>
      </x:c>
      <x:c r="B18" s="56" t="n">
        <x:v>290000</x:v>
      </x:c>
      <x:c r="D18" s="39" t="str">
        <x:v>研修C</x:v>
      </x:c>
      <x:c r="E18" s="56" t="n">
        <x:v>300000</x:v>
      </x:c>
      <x:c r="G18" s="39" t="str">
        <x:v>完了</x:v>
      </x:c>
      <x:c r="H18" s="39" t="n">
        <x:v>9</x:v>
      </x:c>
    </x:row>
    <x:row r="19">
      <x:c r="A19" s="39" t="str">
        <x:v>佐藤太郎</x:v>
      </x:c>
      <x:c r="B19" s="56" t="n">
        <x:v>280000</x:v>
      </x:c>
    </x:row>
    <x:row r="20">
      <x:c r="A20" s="39" t="str">
        <x:v>高橋健</x:v>
      </x:c>
      <x:c r="B20" s="56" t="n">
        <x:v>280000</x:v>
      </x:c>
    </x:row>
    <x:row r="21">
      <x:c r="A21" s="39" t="str">
        <x:v>山本直子</x:v>
      </x:c>
      <x:c r="B21" s="56" t="n">
        <x:v>270000</x:v>
      </x:c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30" hidden="0" customWidth="1"/>
  </x:cols>
  <x:sheetData>
    <x:row r="1" ht="34" customHeight="1">
      <x:c r="A1" s="6" t="str">
        <x:v>フィルター・更新・復元の記録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確認項目</x:v>
      </x:c>
      <x:c r="B4" s="16" t="str">
        <x:v>操作前</x:v>
      </x:c>
      <x:c r="C4" s="16" t="str">
        <x:v>実際の値</x:v>
      </x:c>
      <x:c r="D4" s="16" t="str">
        <x:v>期待値</x:v>
      </x:c>
      <x:c r="E4" s="16" t="str">
        <x:v>判定</x:v>
      </x:c>
      <x:c r="F4" s="16" t="str">
        <x:v>補足</x:v>
      </x:c>
    </x:row>
    <x:row r="5">
      <x:c r="A5" s="24" t="str">
        <x:v>P1標準総計</x:v>
      </x:c>
      <x:c r="B5" s="60" t="n">
        <x:v>1780000</x:v>
      </x:c>
      <x:c r="C5" s="80" t="str"/>
      <x:c r="D5" s="60" t="n">
        <x:v>1780000</x:v>
      </x:c>
      <x:c r="E5" s="24" t="str">
        <x:v>未確認</x:v>
      </x:c>
      <x:c r="F5" s="24" t="str">
        <x:v>地域はすべて</x:v>
      </x:c>
    </x:row>
    <x:row r="6">
      <x:c r="A6" s="24" t="str">
        <x:v>関西フィルター</x:v>
      </x:c>
      <x:c r="B6" s="60" t="n">
        <x:v>1780000</x:v>
      </x:c>
      <x:c r="C6" s="80" t="str"/>
      <x:c r="D6" s="60" t="n">
        <x:v>740000</x:v>
      </x:c>
      <x:c r="E6" s="24" t="str">
        <x:v>未確認</x:v>
      </x:c>
      <x:c r="F6" s="24" t="str">
        <x:v>確認後すべてへ戻す</x:v>
      </x:c>
    </x:row>
    <x:row r="7">
      <x:c r="A7" s="24" t="str">
        <x:v>フィルター復元後</x:v>
      </x:c>
      <x:c r="B7" s="60" t="n">
        <x:v>740000</x:v>
      </x:c>
      <x:c r="C7" s="80" t="str"/>
      <x:c r="D7" s="60" t="n">
        <x:v>1780000</x:v>
      </x:c>
      <x:c r="E7" s="24" t="str">
        <x:v>未確認</x:v>
      </x:c>
      <x:c r="F7" s="24" t="str">
        <x:v>すべて表示</x:v>
      </x:c>
    </x:row>
    <x:row r="8">
      <x:c r="A8" s="24" t="str">
        <x:v>R0013追加後の元データ件数</x:v>
      </x:c>
      <x:c r="B8" s="24" t="n">
        <x:v>12</x:v>
      </x:c>
      <x:c r="C8" s="28" t="str"/>
      <x:c r="D8" s="24" t="n">
        <x:v>13</x:v>
      </x:c>
      <x:c r="E8" s="24" t="str">
        <x:v>未確認</x:v>
      </x:c>
      <x:c r="F8" s="24" t="str">
        <x:v>01_元データ</x:v>
      </x:c>
    </x:row>
    <x:row r="9">
      <x:c r="A9" s="24" t="str">
        <x:v>R0013追加後の元データ売上</x:v>
      </x:c>
      <x:c r="B9" s="60" t="n">
        <x:v>1780000</x:v>
      </x:c>
      <x:c r="C9" s="80" t="str"/>
      <x:c r="D9" s="60" t="n">
        <x:v>1900000</x:v>
      </x:c>
      <x:c r="E9" s="24" t="str">
        <x:v>未確認</x:v>
      </x:c>
      <x:c r="F9" s="24" t="str">
        <x:v>01_元データ</x:v>
      </x:c>
    </x:row>
    <x:row r="10">
      <x:c r="A10" s="24" t="str">
        <x:v>R0013追加後のP1総計</x:v>
      </x:c>
      <x:c r="B10" s="60" t="n">
        <x:v>1780000</x:v>
      </x:c>
      <x:c r="C10" s="80" t="str"/>
      <x:c r="D10" s="60" t="n">
        <x:v>1900000</x:v>
      </x:c>
      <x:c r="E10" s="24" t="str">
        <x:v>未確認</x:v>
      </x:c>
      <x:c r="F10" s="24" t="str">
        <x:v>2026-06が120,000</x:v>
      </x:c>
    </x:row>
    <x:row r="11">
      <x:c r="A11" s="24" t="str">
        <x:v>R0013追加後のP2総計</x:v>
      </x:c>
      <x:c r="B11" s="60" t="n">
        <x:v>12</x:v>
      </x:c>
      <x:c r="C11" s="80" t="str"/>
      <x:c r="D11" s="60" t="n">
        <x:v>13</x:v>
      </x:c>
      <x:c r="E11" s="24" t="str">
        <x:v>未確認</x:v>
      </x:c>
      <x:c r="F11" s="24" t="str">
        <x:v>営業1課が5</x:v>
      </x:c>
    </x:row>
    <x:row r="12">
      <x:c r="A12" s="24" t="str">
        <x:v>R0013削除後の元データ件数</x:v>
      </x:c>
      <x:c r="B12" s="24" t="n">
        <x:v>13</x:v>
      </x:c>
      <x:c r="C12" s="28" t="str"/>
      <x:c r="D12" s="24" t="n">
        <x:v>12</x:v>
      </x:c>
      <x:c r="E12" s="24" t="str">
        <x:v>未確認</x:v>
      </x:c>
      <x:c r="F12" s="24" t="str">
        <x:v>標準状態</x:v>
      </x:c>
    </x:row>
    <x:row r="13">
      <x:c r="A13" s="24" t="str">
        <x:v>R0013削除後のP1総計</x:v>
      </x:c>
      <x:c r="B13" s="60" t="n">
        <x:v>1900000</x:v>
      </x:c>
      <x:c r="C13" s="80" t="str"/>
      <x:c r="D13" s="60" t="n">
        <x:v>1780000</x:v>
      </x:c>
      <x:c r="E13" s="24" t="str">
        <x:v>未確認</x:v>
      </x:c>
      <x:c r="F13" s="24" t="str">
        <x:v>再更新</x:v>
      </x:c>
    </x:row>
    <x:row r="14">
      <x:c r="A14" s="24" t="str">
        <x:v>R0013削除後のP2総計</x:v>
      </x:c>
      <x:c r="B14" s="24" t="n">
        <x:v>13</x:v>
      </x:c>
      <x:c r="C14" s="28" t="str"/>
      <x:c r="D14" s="24" t="n">
        <x:v>12</x:v>
      </x:c>
      <x:c r="E14" s="24" t="str">
        <x:v>未確認</x:v>
      </x:c>
      <x:c r="F14" s="24" t="str">
        <x:v>再更新</x:v>
      </x:c>
    </x:row>
    <x:row r="16">
      <x:c r="A16" s="16" t="str">
        <x:v>最終状態</x:v>
      </x:c>
      <x:c r="B16" s="16" t="str">
        <x:v>入力</x:v>
      </x:c>
    </x:row>
    <x:row r="17">
      <x:c r="A17" s="24" t="str">
        <x:v>地域フィルター</x:v>
      </x:c>
      <x:c r="B17" s="28" t="str"/>
    </x:row>
    <x:row r="18">
      <x:c r="A18" s="24" t="str">
        <x:v>元データ件数</x:v>
      </x:c>
      <x:c r="B18" s="28" t="str"/>
    </x:row>
    <x:row r="19">
      <x:c r="A19" s="24" t="str">
        <x:v>P1総計</x:v>
      </x:c>
      <x:c r="B19" s="28" t="str"/>
    </x:row>
    <x:row r="20">
      <x:c r="A20" s="24" t="str">
        <x:v>P2総計</x:v>
      </x:c>
      <x:c r="B20" s="28" t="str"/>
    </x:row>
  </x:sheetData>
  <x:mergeCells>
    <x:mergeCell ref="A1:F2"/>
  </x:mergeCells>
  <x:dataValidations count="2">
    <x:dataValidation type="list" sqref="E5:E14">
      <x:formula1>"未確認,OK,要確認"</x:formula1>
    </x:dataValidation>
    <x:dataValidation type="list" sqref="B17">
      <x:formula1>"すべて,関西,関東,中部"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50" hidden="0" customWidth="1"/>
    <x:col min="3" max="3" width="48" hidden="0" customWidth="1"/>
    <x:col min="4" max="4" width="22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元データをコピーせずに複数集計を作れる理由</x:v>
      </x:c>
      <x:c r="C5" s="28" t="str"/>
      <x:c r="D5" s="24" t="str">
        <x:v>1～2文</x:v>
      </x:c>
    </x:row>
    <x:row r="6">
      <x:c r="A6" s="24" t="n">
        <x:v>2</x:v>
      </x:c>
      <x:c r="B6" s="24" t="str">
        <x:v>月別売上と部門別件数で値・集計方法が異なる理由</x:v>
      </x:c>
      <x:c r="C6" s="28" t="str"/>
      <x:c r="D6" s="24" t="str">
        <x:v>1～2文</x:v>
      </x:c>
    </x:row>
    <x:row r="7">
      <x:c r="A7" s="24" t="n">
        <x:v>3</x:v>
      </x:c>
      <x:c r="B7" s="24" t="str">
        <x:v>フィルターをすべてへ戻す理由</x:v>
      </x:c>
      <x:c r="C7" s="28" t="str"/>
      <x:c r="D7" s="24" t="str">
        <x:v>1～2文</x:v>
      </x:c>
    </x:row>
    <x:row r="8">
      <x:c r="A8" s="24" t="n">
        <x:v>4</x:v>
      </x:c>
      <x:c r="B8" s="24" t="str">
        <x:v>R0013追加後に必要な操作</x:v>
      </x:c>
      <x:c r="C8" s="28" t="str"/>
      <x:c r="D8" s="24" t="str">
        <x:v>1～2文</x:v>
      </x:c>
    </x:row>
    <x:row r="9">
      <x:c r="A9" s="24" t="n">
        <x:v>5</x:v>
      </x:c>
      <x:c r="B9" s="24" t="str">
        <x:v>ピボット総計と元データを比較する理由</x:v>
      </x:c>
      <x:c r="C9" s="28" t="str"/>
      <x:c r="D9" s="24" t="str">
        <x:v>1～2文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使用環境</x:v>
      </x:c>
      <x:c r="B12" s="24" t="str"/>
      <x:c r="C12" s="24" t="str">
        <x:v>パソコン版／Web版</x:v>
      </x:c>
      <x:c r="D12" s="24" t="str"/>
    </x:row>
    <x:row r="13">
      <x:c r="A13" s="24" t="str">
        <x:v>ファイル名</x:v>
      </x:c>
      <x:c r="B13" s="24" t="str"/>
      <x:c r="C13" s="24" t="str">
        <x:v>中級_第三章_ピボット基本_受講者名.xlsx</x:v>
      </x:c>
      <x:c r="D13" s="24" t="str"/>
    </x:row>
    <x:row r="14">
      <x:c r="A14" s="24" t="str">
        <x:v>P1_月別売上</x:v>
      </x:c>
      <x:c r="B14" s="24" t="str">
        <x:v>未確認</x:v>
      </x:c>
      <x:c r="C14" s="24" t="str">
        <x:v>OK</x:v>
      </x:c>
      <x:c r="D14" s="24" t="str"/>
    </x:row>
    <x:row r="15">
      <x:c r="A15" s="24" t="str">
        <x:v>P2_部門別件数</x:v>
      </x:c>
      <x:c r="B15" s="24" t="str">
        <x:v>未確認</x:v>
      </x:c>
      <x:c r="C15" s="24" t="str">
        <x:v>OK</x:v>
      </x:c>
      <x:c r="D15" s="24" t="str"/>
    </x:row>
    <x:row r="16">
      <x:c r="A16" s="24" t="str">
        <x:v>地域フィルター</x:v>
      </x:c>
      <x:c r="B16" s="24" t="str">
        <x:v>未確認</x:v>
      </x:c>
      <x:c r="C16" s="24" t="str">
        <x:v>OK</x:v>
      </x:c>
      <x:c r="D16" s="24" t="str"/>
    </x:row>
    <x:row r="17">
      <x:c r="A17" s="24" t="str">
        <x:v>R0013追加後の更新</x:v>
      </x:c>
      <x:c r="B17" s="24" t="str">
        <x:v>未確認</x:v>
      </x:c>
      <x:c r="C17" s="24" t="str">
        <x:v>OK</x:v>
      </x:c>
      <x:c r="D17" s="24" t="str"/>
    </x:row>
    <x:row r="18">
      <x:c r="A18" s="24" t="str">
        <x:v>標準状態への復元</x:v>
      </x:c>
      <x:c r="B18" s="24" t="str">
        <x:v>未確認</x:v>
      </x:c>
      <x:c r="C18" s="24" t="str">
        <x:v>OK</x:v>
      </x:c>
      <x:c r="D18" s="24" t="str"/>
    </x:row>
    <x:row r="19">
      <x:c r="A19" s="24" t="str">
        <x:v>作成したピボット数</x:v>
      </x:c>
      <x:c r="B19" s="24" t="str"/>
      <x:c r="C19" s="24" t="str">
        <x:v>2</x:v>
      </x:c>
      <x:c r="D19" s="24" t="str"/>
    </x:row>
    <x:row r="20">
      <x:c r="A20" s="24" t="str">
        <x:v>P1の行・値・集計方法</x:v>
      </x:c>
      <x:c r="B20" s="24" t="str"/>
      <x:c r="C20" s="24" t="str">
        <x:v>年月・売上金額・合計</x:v>
      </x:c>
      <x:c r="D20" s="24" t="str"/>
    </x:row>
    <x:row r="21">
      <x:c r="A21" s="24" t="str">
        <x:v>P1の標準総計</x:v>
      </x:c>
      <x:c r="B21" s="24" t="str"/>
      <x:c r="C21" s="24" t="str">
        <x:v>1,780,000</x:v>
      </x:c>
      <x:c r="D21" s="24" t="str"/>
    </x:row>
    <x:row r="22">
      <x:c r="A22" s="24" t="str">
        <x:v>P1の関西フィルター結果</x:v>
      </x:c>
      <x:c r="B22" s="24" t="str"/>
      <x:c r="C22" s="24" t="str">
        <x:v>740,000</x:v>
      </x:c>
      <x:c r="D22" s="24" t="str"/>
    </x:row>
    <x:row r="23">
      <x:c r="A23" s="24" t="str">
        <x:v>P2の行・値・集計方法</x:v>
      </x:c>
      <x:c r="B23" s="24" t="str"/>
      <x:c r="C23" s="24" t="str">
        <x:v>部門・実績ID・個数</x:v>
      </x:c>
      <x:c r="D23" s="24" t="str"/>
    </x:row>
    <x:row r="24">
      <x:c r="A24" s="24" t="str">
        <x:v>P2の標準総計</x:v>
      </x:c>
      <x:c r="B24" s="24" t="str"/>
      <x:c r="C24" s="24" t="str">
        <x:v>12</x:v>
      </x:c>
      <x:c r="D24" s="24" t="str"/>
    </x:row>
    <x:row r="25">
      <x:c r="A25" s="24" t="str">
        <x:v>R0013追加後のP1総計</x:v>
      </x:c>
      <x:c r="B25" s="24" t="str"/>
      <x:c r="C25" s="24" t="str">
        <x:v>1,900,000</x:v>
      </x:c>
      <x:c r="D25" s="24" t="str"/>
    </x:row>
    <x:row r="26">
      <x:c r="A26" s="24" t="str">
        <x:v>R0013追加後のP2総計</x:v>
      </x:c>
      <x:c r="B26" s="24" t="str"/>
      <x:c r="C26" s="24" t="str">
        <x:v>13</x:v>
      </x:c>
      <x:c r="D26" s="24" t="str"/>
    </x:row>
    <x:row r="27">
      <x:c r="A27" s="24" t="str">
        <x:v>R0013削除後の元データ件数</x:v>
      </x:c>
      <x:c r="B27" s="24" t="str"/>
      <x:c r="C27" s="24" t="str">
        <x:v>12</x:v>
      </x:c>
      <x:c r="D27" s="24" t="str"/>
    </x:row>
    <x:row r="28">
      <x:c r="A28" s="24" t="str">
        <x:v>フィルターの最終状態</x:v>
      </x:c>
      <x:c r="B28" s="24" t="str"/>
      <x:c r="C28" s="24" t="str">
        <x:v>すべて</x:v>
      </x:c>
      <x:c r="D28" s="24" t="str"/>
    </x:row>
    <x:row r="29">
      <x:c r="A29" s="24" t="str">
        <x:v>未解決の質問</x:v>
      </x:c>
      <x:c r="B29" s="24" t="str"/>
      <x:c r="C29" s="24" t="str">
        <x:v>なし／内容を記載</x:v>
      </x:c>
      <x:c r="D29" s="24" t="str"/>
    </x:row>
    <x:row r="30">
      <x:c r="A30" s="24" t="str">
        <x:v>第三章の完成判定</x:v>
      </x:c>
      <x:c r="B30" s="24" t="str">
        <x:v>要確認</x:v>
      </x:c>
      <x:c r="C30" s="24" t="str">
        <x:v>完成</x:v>
      </x:c>
      <x:c r="D30" s="24" t="str"/>
    </x:row>
  </x:sheetData>
  <x:mergeCells>
    <x:mergeCell ref="A1:D2"/>
  </x:mergeCells>
  <x:dataValidations count="3">
    <x:dataValidation type="list" sqref="B12">
      <x:formula1>"パソコン版,Web版"</x:formula1>
    </x:dataValidation>
    <x:dataValidation type="list" sqref="B14:B18">
      <x:formula1>"未確認,OK,要確認"</x:formula1>
    </x:dataValidation>
    <x:dataValidation type="list" sqref="B30">
      <x:formula1>"完成,要確認"</x:formula1>
    </x:dataValidation>
  </x:dataValidations>
  <x:pageMargins left="0.7" right="0.7" top="0.75" bottom="0.75" header="0.3" footer="0.3"/>
</x:worksheet>
</file>