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58242bc58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656e09c8c3ae42f8"/>
    <x:sheet xmlns:r="http://schemas.openxmlformats.org/officeDocument/2006/relationships" name="01_元データ" sheetId="2" r:id="Rcaf6566e8afa483b"/>
    <x:sheet xmlns:r="http://schemas.openxmlformats.org/officeDocument/2006/relationships" name="02_報告設計" sheetId="3" r:id="Rf8eaf647af1f496f"/>
    <x:sheet xmlns:r="http://schemas.openxmlformats.org/officeDocument/2006/relationships" name="03_月別売上" sheetId="4" r:id="R2bf181824a764951"/>
    <x:sheet xmlns:r="http://schemas.openxmlformats.org/officeDocument/2006/relationships" name="04_部門別件数" sheetId="5" r:id="R1a8ff368e16a4012"/>
    <x:sheet xmlns:r="http://schemas.openxmlformats.org/officeDocument/2006/relationships" name="05_担当者別売上_参考" sheetId="6" r:id="R86a84090bb014716"/>
    <x:sheet xmlns:r="http://schemas.openxmlformats.org/officeDocument/2006/relationships" name="06_完成見本" sheetId="7" r:id="Rc61e7b0c712a4cbb"/>
    <x:sheet xmlns:r="http://schemas.openxmlformats.org/officeDocument/2006/relationships" name="07_月次報告_作業" sheetId="8" r:id="Rc0ff86030c784a09"/>
    <x:sheet xmlns:r="http://schemas.openxmlformats.org/officeDocument/2006/relationships" name="08_提出確認" sheetId="9" r:id="Ra71d90cbbd47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/mm/dd"/>
    <x:numFmt numFmtId="201" formatCode="yyyy-mm"/>
    <x:numFmt numFmtId="202" formatCode="0"/>
    <x:numFmt numFmtId="203" formatCode="#,##0"/>
    <x:numFmt numFmtId="204" formatCode="#,##0&quot;円&quot;"/>
    <x:numFmt numFmtId="205" formatCode="0&quot;件&quot;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  <x:font>
      <x:b/>
      <x:sz val="18"/>
      <x:color rgb="FF315E7D"/>
      <x:name val="Carlito"/>
    </x:font>
    <x:font>
      <x:b/>
      <x:sz val="13"/>
      <x:color rgb="FF5C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3E7293"/>
      </x:patternFill>
    </x:fill>
    <x:fill>
      <x:patternFill patternType="solid">
        <x:fgColor rgb="FFFFF3CD"/>
      </x:patternFill>
    </x:fill>
    <x:fill>
      <x:patternFill patternType="solid">
        <x:fgColor rgb="FFEEF2F5"/>
      </x:patternFill>
    </x:fill>
    <x:fill>
      <x:patternFill patternType="solid">
        <x:fgColor rgb="FFDCEAF3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1" fontId="3" fillId="5" borderId="0" xfId="0" applyNumberFormat="1" applyFont="1" applyFill="1" applyBorder="1" applyAlignment="1">
      <x:alignment vertical="top" wrapText="1"/>
    </x:xf>
    <x:xf numFmtId="201" fontId="3" fillId="5" borderId="1" xfId="0" applyNumberFormat="1" applyFont="1" applyFill="1" applyBorder="1" applyAlignment="1">
      <x:alignment vertical="top" wrapText="1"/>
    </x:xf>
    <x:xf numFmtId="202" fontId="3" fillId="5" borderId="0" xfId="0" applyNumberFormat="1" applyFont="1" applyFill="1" applyBorder="1" applyAlignment="1">
      <x:alignment vertical="top" wrapText="1"/>
    </x:xf>
    <x:xf numFmtId="202" fontId="3" fillId="5" borderId="1" xfId="0" applyNumberFormat="1" applyFont="1" applyFill="1" applyBorder="1" applyAlignment="1">
      <x:alignment vertical="top" wrapText="1"/>
    </x:xf>
    <x:xf numFmtId="203" fontId="3" fillId="5" borderId="0" xfId="0" applyNumberFormat="1" applyFont="1" applyFill="1" applyBorder="1" applyAlignment="1">
      <x:alignment vertical="top" wrapText="1"/>
    </x:xf>
    <x:xf numFmtId="203" fontId="3" fillId="5" borderId="1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left" vertical="center"/>
    </x:xf>
    <x:xf numFmtId="0" fontId="4" fillId="6" borderId="1" xfId="0" applyNumberFormat="1" applyFont="1" applyFill="1" applyBorder="1" applyAlignment="1">
      <x:alignment horizontal="left"/>
    </x:xf>
    <x:xf numFmtId="0" fontId="4" fillId="6" borderId="1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4" fontId="5" fillId="7" borderId="0" xfId="0" applyNumberFormat="1" applyFont="1" applyFill="1" applyBorder="1"/>
    <x:xf numFmtId="204" fontId="5" fillId="7" borderId="0" xfId="0" applyNumberFormat="1" applyFont="1" applyFill="1" applyBorder="1" applyAlignment="1">
      <x:alignment horizontal="center"/>
    </x:xf>
    <x:xf numFmtId="204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4" fontId="5" fillId="7" borderId="1" xfId="0" applyNumberFormat="1" applyFont="1" applyFill="1" applyBorder="1"/>
    <x:xf numFmtId="204" fontId="5" fillId="7" borderId="1" xfId="0" applyNumberFormat="1" applyFont="1" applyFill="1" applyBorder="1" applyAlignment="1">
      <x:alignment horizontal="center"/>
    </x:xf>
    <x:xf numFmtId="204" fontId="5" fillId="7" borderId="1" xfId="0" applyNumberFormat="1" applyFont="1" applyFill="1" applyBorder="1" applyAlignment="1">
      <x:alignment horizontal="center" vertical="center"/>
    </x:xf>
    <x:xf numFmtId="205" fontId="5" fillId="7" borderId="0" xfId="0" applyNumberFormat="1" applyFont="1" applyFill="1" applyBorder="1"/>
    <x:xf numFmtId="205" fontId="5" fillId="7" borderId="0" xfId="0" applyNumberFormat="1" applyFont="1" applyFill="1" applyBorder="1" applyAlignment="1">
      <x:alignment horizontal="center"/>
    </x:xf>
    <x:xf numFmtId="205" fontId="5" fillId="7" borderId="0" xfId="0" applyNumberFormat="1" applyFont="1" applyFill="1" applyBorder="1" applyAlignment="1">
      <x:alignment horizontal="center" vertical="center"/>
    </x:xf>
    <x:xf numFmtId="205" fontId="5" fillId="7" borderId="1" xfId="0" applyNumberFormat="1" applyFont="1" applyFill="1" applyBorder="1"/>
    <x:xf numFmtId="205" fontId="5" fillId="7" borderId="1" xfId="0" applyNumberFormat="1" applyFont="1" applyFill="1" applyBorder="1" applyAlignment="1">
      <x:alignment horizontal="center"/>
    </x:xf>
    <x:xf numFmtId="205" fontId="5" fillId="7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835c205bb45dc" /><Relationship Type="http://schemas.openxmlformats.org/officeDocument/2006/relationships/theme" Target="/xl/theme/theme1.xml" Id="R8fbb17f36c8a4552" /><Relationship Type="http://schemas.openxmlformats.org/officeDocument/2006/relationships/sharedStrings" Target="/xl/sharedStrings.xml" Id="Rf8ad374e67d04af6" /><Relationship Type="http://schemas.openxmlformats.org/officeDocument/2006/relationships/worksheet" Target="/xl/worksheets/sheet1.xml" Id="R656e09c8c3ae42f8" /><Relationship Type="http://schemas.openxmlformats.org/officeDocument/2006/relationships/worksheet" Target="/xl/worksheets/sheet2.xml" Id="Rcaf6566e8afa483b" /><Relationship Type="http://schemas.openxmlformats.org/officeDocument/2006/relationships/worksheet" Target="/xl/worksheets/sheet3.xml" Id="Rf8eaf647af1f496f" /><Relationship Type="http://schemas.openxmlformats.org/officeDocument/2006/relationships/worksheet" Target="/xl/worksheets/sheet4.xml" Id="R2bf181824a764951" /><Relationship Type="http://schemas.openxmlformats.org/officeDocument/2006/relationships/worksheet" Target="/xl/worksheets/sheet5.xml" Id="R1a8ff368e16a4012" /><Relationship Type="http://schemas.openxmlformats.org/officeDocument/2006/relationships/worksheet" Target="/xl/worksheets/sheet6.xml" Id="R86a84090bb014716" /><Relationship Type="http://schemas.openxmlformats.org/officeDocument/2006/relationships/worksheet" Target="/xl/worksheets/sheet7.xml" Id="Rc61e7b0c712a4cbb" /><Relationship Type="http://schemas.openxmlformats.org/officeDocument/2006/relationships/worksheet" Target="/xl/worksheets/sheet8.xml" Id="Rc0ff86030c784a09" /><Relationship Type="http://schemas.openxmlformats.org/officeDocument/2006/relationships/worksheet" Target="/xl/worksheets/sheet9.xml" Id="Ra71d90cbbd4743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143a858b194b5a" /><Relationship Type="http://schemas.openxmlformats.org/officeDocument/2006/relationships/chart" Target="/xl/drawings/charts/chart2.xml" Id="R26ef5f0fec4d42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月別売上推移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売上金額</c:v>
          </c:tx>
          <c:cat>
            <c:strRef>
              <c:f>'03_月別売上'!$A$5:$A$7</c:f>
              <c:strCache>
                <c:ptCount val="0"/>
              </c:strCache>
            </c:strRef>
          </c:cat>
          <c:val>
            <c:numRef>
              <c:f>'03_月別売上'!$B$5:$B$7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部門別実績件数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実績件数</c:v>
          </c:tx>
          <c:cat>
            <c:strRef>
              <c:f>'04_部門別件数'!$A$5:$A$7</c:f>
              <c:strCache>
                <c:ptCount val="0"/>
              </c:strCache>
            </c:strRef>
          </c:cat>
          <c:val>
            <c:numRef>
              <c:f>'04_部門別件数'!$B$5:$B$7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143a858b194b5a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ef5f0fec4d42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月次実績テーブル" displayName="月次実績テーブル" ref="A3:O21" headerRowCount="1">
  <x:tableColumns count="15">
    <x:tableColumn id="1" name="実績ID"/>
    <x:tableColumn id="2" name="実績日"/>
    <x:tableColumn id="3" name="年月"/>
    <x:tableColumn id="4" name="部門"/>
    <x:tableColumn id="5" name="担当者"/>
    <x:tableColumn id="6" name="地域"/>
    <x:tableColumn id="7" name="顧客区分"/>
    <x:tableColumn id="8" name="サービスカテゴリ"/>
    <x:tableColumn id="9" name="サービス名"/>
    <x:tableColumn id="10" name="数量"/>
    <x:tableColumn id="11" name="単価"/>
    <x:tableColumn id="12" name="売上金額"/>
    <x:tableColumn id="13" name="ステータス"/>
    <x:tableColumn id="14" name="受注経路"/>
    <x:tableColumn id="15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afde3d760848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af453a7b9384c1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4" hidden="0" customWidth="1"/>
    <x:col min="4" max="4" width="28" hidden="0" customWidth="1"/>
    <x:col min="5" max="5" width="34" hidden="0" customWidth="1"/>
    <x:col min="6" max="6" width="13" hidden="0" customWidth="1"/>
  </x:cols>
  <x:sheetData>
    <x:row r="1" ht="34" customHeight="1">
      <x:c r="A1" s="6" t="str">
        <x:v>中級・第四章　集計結果の見える化と報告資料作成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01_元データ</x:v>
      </x:c>
      <x:c r="C5" s="24" t="str">
        <x:v>18件と3指標を確認</x:v>
      </x:c>
      <x:c r="D5" s="24" t="str">
        <x:v>数値が標準値と一致</x:v>
      </x:c>
      <x:c r="E5" s="24" t="str">
        <x:v>元データは変更しない</x:v>
      </x:c>
      <x:c r="F5" s="24" t="str">
        <x:v>未確認</x:v>
      </x:c>
    </x:row>
    <x:row r="6">
      <x:c r="A6" s="24" t="n">
        <x:v>2</x:v>
      </x:c>
      <x:c r="B6" s="24" t="str">
        <x:v>02_報告設計</x:v>
      </x:c>
      <x:c r="C6" s="24" t="str">
        <x:v>報告相手・目的・期間を確認</x:v>
      </x:c>
      <x:c r="D6" s="24" t="str">
        <x:v>確認欄をOK</x:v>
      </x:c>
      <x:c r="E6" s="24" t="str">
        <x:v>完成見本を参照</x:v>
      </x:c>
      <x:c r="F6" s="24" t="str">
        <x:v>未確認</x:v>
      </x:c>
    </x:row>
    <x:row r="7">
      <x:c r="A7" s="24" t="n">
        <x:v>3</x:v>
      </x:c>
      <x:c r="B7" s="24" t="str">
        <x:v>03_月別売上</x:v>
      </x:c>
      <x:c r="C7" s="24" t="str">
        <x:v>月別売上グラフを作る</x:v>
      </x:c>
      <x:c r="D7" s="24" t="str">
        <x:v>3か月・総計なし</x:v>
      </x:c>
      <x:c r="E7" s="24" t="str">
        <x:v>選択範囲を確認</x:v>
      </x:c>
      <x:c r="F7" s="24" t="str">
        <x:v>未確認</x:v>
      </x:c>
    </x:row>
    <x:row r="8">
      <x:c r="A8" s="24" t="n">
        <x:v>4</x:v>
      </x:c>
      <x:c r="B8" s="24" t="str">
        <x:v>04_部門別件数</x:v>
      </x:c>
      <x:c r="C8" s="24" t="str">
        <x:v>部門別件数グラフを作る</x:v>
      </x:c>
      <x:c r="D8" s="24" t="str">
        <x:v>3部門・総計なし</x:v>
      </x:c>
      <x:c r="E8" s="24" t="str">
        <x:v>値と単位を確認</x:v>
      </x:c>
      <x:c r="F8" s="24" t="str">
        <x:v>未確認</x:v>
      </x:c>
    </x:row>
    <x:row r="9">
      <x:c r="A9" s="24" t="n">
        <x:v>5</x:v>
      </x:c>
      <x:c r="B9" s="24" t="str">
        <x:v>06_完成見本</x:v>
      </x:c>
      <x:c r="C9" s="24" t="str">
        <x:v>配置を確認</x:v>
      </x:c>
      <x:c r="D9" s="24" t="str">
        <x:v>指標上部・グラフ2つ</x:v>
      </x:c>
      <x:c r="E9" s="24" t="str">
        <x:v>完全に同じでなくてよい</x:v>
      </x:c>
      <x:c r="F9" s="24" t="str">
        <x:v>未確認</x:v>
      </x:c>
    </x:row>
    <x:row r="10">
      <x:c r="A10" s="24" t="n">
        <x:v>6</x:v>
      </x:c>
      <x:c r="B10" s="24" t="str">
        <x:v>07_月次報告_作業</x:v>
      </x:c>
      <x:c r="C10" s="24" t="str">
        <x:v>グラフを配置</x:v>
      </x:c>
      <x:c r="D10" s="24" t="str">
        <x:v>1画面で確認</x:v>
      </x:c>
      <x:c r="E10" s="24" t="str">
        <x:v>枠内へ移動</x:v>
      </x:c>
      <x:c r="F10" s="24" t="str">
        <x:v>未確認</x:v>
      </x:c>
    </x:row>
    <x:row r="11">
      <x:c r="A11" s="24" t="n">
        <x:v>7</x:v>
      </x:c>
      <x:c r="B11" s="24" t="str">
        <x:v>08_提出確認</x:v>
      </x:c>
      <x:c r="C11" s="24" t="str">
        <x:v>理解確認・完成判定</x:v>
      </x:c>
      <x:c r="D11" s="24" t="str">
        <x:v>5問＋記録</x:v>
      </x:c>
      <x:c r="E11" s="24" t="str">
        <x:v>長文にしない</x:v>
      </x:c>
      <x:c r="F11" s="24" t="str">
        <x:v>未確認</x:v>
      </x:c>
    </x:row>
    <x:row r="13">
      <x:c r="A13" s="16" t="str">
        <x:v>基本情報</x:v>
      </x:c>
      <x:c r="B13" s="16" t="str">
        <x:v>入力</x:v>
      </x:c>
    </x:row>
    <x:row r="14">
      <x:c r="A14" s="24" t="str">
        <x:v>使用環境</x:v>
      </x:c>
      <x:c r="B14" s="28" t="str"/>
    </x:row>
    <x:row r="15">
      <x:c r="A15" s="24" t="str">
        <x:v>ファイル名</x:v>
      </x:c>
      <x:c r="B15" s="28" t="str"/>
    </x:row>
    <x:row r="16">
      <x:c r="A16" s="24" t="str">
        <x:v>保存先</x:v>
      </x:c>
      <x:c r="B16" s="28" t="str"/>
    </x:row>
    <x:row r="17">
      <x:c r="A17" s="24" t="str">
        <x:v>問い合わせ先</x:v>
      </x:c>
      <x:c r="B17" s="24" t="str">
        <x:v>教材演習担当</x:v>
      </x:c>
    </x:row>
    <x:row r="19">
      <x:c r="A19" s="32" t="str">
        <x:v>注意：必須は2つのグラフ作成と報告シートへの配置です。スライサーと更新テストは追加練習です。</x:v>
      </x:c>
      <x:c r="B19" s="32"/>
      <x:c r="C19" s="32"/>
      <x:c r="D19" s="32"/>
      <x:c r="E19" s="32"/>
      <x:c r="F19" s="32"/>
    </x:row>
  </x:sheetData>
  <x:mergeCells>
    <x:mergeCell ref="A1:F2"/>
    <x:mergeCell ref="A19:F19"/>
  </x:mergeCells>
  <x:dataValidations count="2">
    <x:dataValidation type="list" sqref="F5:F11">
      <x:formula1>"未確認,OK,要確認"</x:formula1>
    </x:dataValidation>
    <x:dataValidation type="list" sqref="B14">
      <x:formula1>"パソコン版,Web版"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  <x:col min="17" max="17" width="22" hidden="0" customWidth="1"/>
    <x:col min="18" max="18" width="18" hidden="0" customWidth="1"/>
  </x:cols>
  <x:sheetData>
    <x:row r="1" ht="34" customHeight="1">
      <x:c r="A1" s="6" t="str">
        <x:v>月次実績テーブル　2026年4月～6月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実績ID</x:v>
      </x:c>
      <x:c r="B3" s="16" t="str">
        <x:v>実績日</x:v>
      </x:c>
      <x:c r="C3" s="16" t="str">
        <x:v>年月</x:v>
      </x:c>
      <x:c r="D3" s="16" t="str">
        <x:v>部門</x:v>
      </x:c>
      <x:c r="E3" s="16" t="str">
        <x:v>担当者</x:v>
      </x:c>
      <x:c r="F3" s="16" t="str">
        <x:v>地域</x:v>
      </x:c>
      <x:c r="G3" s="16" t="str">
        <x:v>顧客区分</x:v>
      </x:c>
      <x:c r="H3" s="16" t="str">
        <x:v>サービスカテゴリ</x:v>
      </x:c>
      <x:c r="I3" s="16" t="str">
        <x:v>サービス名</x:v>
      </x:c>
      <x:c r="J3" s="16" t="str">
        <x:v>数量</x:v>
      </x:c>
      <x:c r="K3" s="16" t="str">
        <x:v>単価</x:v>
      </x:c>
      <x:c r="L3" s="16" t="str">
        <x:v>売上金額</x:v>
      </x:c>
      <x:c r="M3" s="16" t="str">
        <x:v>ステータス</x:v>
      </x:c>
      <x:c r="N3" s="16" t="str">
        <x:v>受注経路</x:v>
      </x:c>
      <x:c r="O3" s="16" t="str">
        <x:v>備考</x:v>
      </x:c>
      <x:c r="Q3" s="16" t="str">
        <x:v>元データ確認</x:v>
      </x:c>
      <x:c r="R3" s="16" t="str">
        <x:v>現在値</x:v>
      </x:c>
    </x:row>
    <x:row r="4">
      <x:c r="A4" s="39" t="str">
        <x:v>R0013</x:v>
      </x:c>
      <x:c r="B4" s="44" t="n">
        <x:v>46117</x:v>
      </x:c>
      <x:c r="C4" s="46" t="n">
        <x:v>46113</x:v>
      </x:c>
      <x:c r="D4" s="39" t="str">
        <x:v>営業1課</x:v>
      </x:c>
      <x:c r="E4" s="39" t="str">
        <x:v>佐藤太郎</x:v>
      </x:c>
      <x:c r="F4" s="39" t="str">
        <x:v>関東</x:v>
      </x:c>
      <x:c r="G4" s="39" t="str">
        <x:v>新規</x:v>
      </x:c>
      <x:c r="H4" s="39" t="str">
        <x:v>保守</x:v>
      </x:c>
      <x:c r="I4" s="39" t="str">
        <x:v>保守A</x:v>
      </x:c>
      <x:c r="J4" s="48" t="n">
        <x:v>1</x:v>
      </x:c>
      <x:c r="K4" s="50" t="n">
        <x:v>120000</x:v>
      </x:c>
      <x:c r="L4" s="50" t="n">
        <x:v>120000</x:v>
      </x:c>
      <x:c r="M4" s="39" t="str">
        <x:v>完了</x:v>
      </x:c>
      <x:c r="N4" s="39" t="str">
        <x:v>Web</x:v>
      </x:c>
      <x:c r="O4" s="39" t="str">
        <x:v>可視化追加</x:v>
      </x:c>
      <x:c r="Q4" s="24" t="str">
        <x:v>列数</x:v>
      </x:c>
      <x:c r="R4" s="24" t="n">
        <x:f>COUNTA(A3:O3)</x:f>
        <x:v>15</x:v>
      </x:c>
    </x:row>
    <x:row r="5">
      <x:c r="A5" s="39" t="str">
        <x:v>R0014</x:v>
      </x:c>
      <x:c r="B5" s="44" t="n">
        <x:v>46124</x:v>
      </x:c>
      <x:c r="C5" s="46" t="n">
        <x:v>46113</x:v>
      </x:c>
      <x:c r="D5" s="39" t="str">
        <x:v>営業2課</x:v>
      </x:c>
      <x:c r="E5" s="39" t="str">
        <x:v>鈴木花子</x:v>
      </x:c>
      <x:c r="F5" s="39" t="str">
        <x:v>関西</x:v>
      </x:c>
      <x:c r="G5" s="39" t="str">
        <x:v>既存</x:v>
      </x:c>
      <x:c r="H5" s="39" t="str">
        <x:v>導入</x:v>
      </x:c>
      <x:c r="I5" s="39" t="str">
        <x:v>導入B</x:v>
      </x:c>
      <x:c r="J5" s="48" t="n">
        <x:v>1</x:v>
      </x:c>
      <x:c r="K5" s="50" t="n">
        <x:v>80000</x:v>
      </x:c>
      <x:c r="L5" s="50" t="n">
        <x:v>80000</x:v>
      </x:c>
      <x:c r="M5" s="39" t="str">
        <x:v>完了</x:v>
      </x:c>
      <x:c r="N5" s="39" t="str">
        <x:v>紹介</x:v>
      </x:c>
      <x:c r="O5" s="39" t="str">
        <x:v>可視化追加</x:v>
      </x:c>
      <x:c r="Q5" s="24" t="str">
        <x:v>明細件数</x:v>
      </x:c>
      <x:c r="R5" s="24" t="n">
        <x:f>COUNTA(A4:A21)</x:f>
        <x:v>18</x:v>
      </x:c>
    </x:row>
    <x:row r="6">
      <x:c r="A6" s="39" t="str">
        <x:v>R0015</x:v>
      </x:c>
      <x:c r="B6" s="44" t="n">
        <x:v>46132</x:v>
      </x:c>
      <x:c r="C6" s="46" t="n">
        <x:v>46113</x:v>
      </x:c>
      <x:c r="D6" s="39" t="str">
        <x:v>技術部</x:v>
      </x:c>
      <x:c r="E6" s="39" t="str">
        <x:v>高橋健</x:v>
      </x:c>
      <x:c r="F6" s="39" t="str">
        <x:v>中部</x:v>
      </x:c>
      <x:c r="G6" s="39" t="str">
        <x:v>新規</x:v>
      </x:c>
      <x:c r="H6" s="39" t="str">
        <x:v>研修</x:v>
      </x:c>
      <x:c r="I6" s="39" t="str">
        <x:v>研修C</x:v>
      </x:c>
      <x:c r="J6" s="48" t="n">
        <x:v>2</x:v>
      </x:c>
      <x:c r="K6" s="50" t="n">
        <x:v>50000</x:v>
      </x:c>
      <x:c r="L6" s="50" t="n">
        <x:v>100000</x:v>
      </x:c>
      <x:c r="M6" s="39" t="str">
        <x:v>進行中</x:v>
      </x:c>
      <x:c r="N6" s="39" t="str">
        <x:v>電話</x:v>
      </x:c>
      <x:c r="O6" s="39" t="str">
        <x:v>可視化追加</x:v>
      </x:c>
      <x:c r="Q6" s="24" t="str">
        <x:v>売上合計</x:v>
      </x:c>
      <x:c r="R6" s="52" t="n">
        <x:f>SUM(L4:L21)</x:f>
        <x:v>2410000</x:v>
      </x:c>
    </x:row>
    <x:row r="7">
      <x:c r="A7" s="39" t="str">
        <x:v>R0001</x:v>
      </x:c>
      <x:c r="B7" s="44" t="n">
        <x:v>46143</x:v>
      </x:c>
      <x:c r="C7" s="46" t="n">
        <x:v>46143</x:v>
      </x:c>
      <x:c r="D7" s="39" t="str">
        <x:v>営業1課</x:v>
      </x:c>
      <x:c r="E7" s="39" t="str">
        <x:v>佐藤太郎</x:v>
      </x:c>
      <x:c r="F7" s="39" t="str">
        <x:v>関西</x:v>
      </x:c>
      <x:c r="G7" s="39" t="str">
        <x:v>新規</x:v>
      </x:c>
      <x:c r="H7" s="39" t="str">
        <x:v>保守</x:v>
      </x:c>
      <x:c r="I7" s="39" t="str">
        <x:v>保守A</x:v>
      </x:c>
      <x:c r="J7" s="48" t="n">
        <x:v>1</x:v>
      </x:c>
      <x:c r="K7" s="50" t="n">
        <x:v>120000</x:v>
      </x:c>
      <x:c r="L7" s="50" t="n">
        <x:v>120000</x:v>
      </x:c>
      <x:c r="M7" s="39" t="str">
        <x:v>完了</x:v>
      </x:c>
      <x:c r="N7" s="39" t="str">
        <x:v>Web</x:v>
      </x:c>
      <x:c r="O7" s="39" t="str"/>
      <x:c r="Q7" s="24" t="str">
        <x:v>完了件数</x:v>
      </x:c>
      <x:c r="R7" s="24" t="n">
        <x:f>COUNTIF(M4:M21,"完了")</x:f>
        <x:v>13</x:v>
      </x:c>
    </x:row>
    <x:row r="8">
      <x:c r="A8" s="39" t="str">
        <x:v>R0002</x:v>
      </x:c>
      <x:c r="B8" s="44" t="n">
        <x:v>46144</x:v>
      </x:c>
      <x:c r="C8" s="46" t="n">
        <x:v>46143</x:v>
      </x:c>
      <x:c r="D8" s="39" t="str">
        <x:v>営業1課</x:v>
      </x:c>
      <x:c r="E8" s="39" t="str">
        <x:v>佐藤太郎</x:v>
      </x:c>
      <x:c r="F8" s="39" t="str">
        <x:v>関西</x:v>
      </x:c>
      <x:c r="G8" s="39" t="str">
        <x:v>既存</x:v>
      </x:c>
      <x:c r="H8" s="39" t="str">
        <x:v>導入</x:v>
      </x:c>
      <x:c r="I8" s="39" t="str">
        <x:v>導入B</x:v>
      </x:c>
      <x:c r="J8" s="48" t="n">
        <x:v>2</x:v>
      </x:c>
      <x:c r="K8" s="50" t="n">
        <x:v>80000</x:v>
      </x:c>
      <x:c r="L8" s="50" t="n">
        <x:v>160000</x:v>
      </x:c>
      <x:c r="M8" s="39" t="str">
        <x:v>進行中</x:v>
      </x:c>
      <x:c r="N8" s="39" t="str">
        <x:v>紹介</x:v>
      </x:c>
      <x:c r="O8" s="39" t="str"/>
      <x:c r="Q8" s="24" t="str">
        <x:v>進行中件数</x:v>
      </x:c>
      <x:c r="R8" s="24" t="n">
        <x:f>COUNTIF(M4:M21,"進行中")</x:f>
        <x:v>5</x:v>
      </x:c>
    </x:row>
    <x:row r="9">
      <x:c r="A9" s="39" t="str">
        <x:v>R0003</x:v>
      </x:c>
      <x:c r="B9" s="44" t="n">
        <x:v>46145</x:v>
      </x:c>
      <x:c r="C9" s="46" t="n">
        <x:v>46143</x:v>
      </x:c>
      <x:c r="D9" s="39" t="str">
        <x:v>営業1課</x:v>
      </x:c>
      <x:c r="E9" s="39" t="str">
        <x:v>山本直子</x:v>
      </x:c>
      <x:c r="F9" s="39" t="str">
        <x:v>中部</x:v>
      </x:c>
      <x:c r="G9" s="39" t="str">
        <x:v>新規</x:v>
      </x:c>
      <x:c r="H9" s="39" t="str">
        <x:v>研修</x:v>
      </x:c>
      <x:c r="I9" s="39" t="str">
        <x:v>研修C</x:v>
      </x:c>
      <x:c r="J9" s="48" t="n">
        <x:v>3</x:v>
      </x:c>
      <x:c r="K9" s="50" t="n">
        <x:v>50000</x:v>
      </x:c>
      <x:c r="L9" s="50" t="n">
        <x:v>150000</x:v>
      </x:c>
      <x:c r="M9" s="39" t="str">
        <x:v>完了</x:v>
      </x:c>
      <x:c r="N9" s="39" t="str">
        <x:v>電話</x:v>
      </x:c>
      <x:c r="O9" s="39" t="str"/>
      <x:c r="Q9" s="24" t="str">
        <x:v>標準状態</x:v>
      </x:c>
      <x:c r="R9" s="24" t="str">
        <x:f>IF(AND(R4=15,R5=18,R6=2410000,R7=13,R8=5),"OK","要確認")</x:f>
        <x:v>OK</x:v>
      </x:c>
    </x:row>
    <x:row r="10">
      <x:c r="A10" s="39" t="str">
        <x:v>R0004</x:v>
      </x:c>
      <x:c r="B10" s="44" t="n">
        <x:v>46146</x:v>
      </x:c>
      <x:c r="C10" s="46" t="n">
        <x:v>46143</x:v>
      </x:c>
      <x:c r="D10" s="39" t="str">
        <x:v>営業1課</x:v>
      </x:c>
      <x:c r="E10" s="39" t="str">
        <x:v>山本直子</x:v>
      </x:c>
      <x:c r="F10" s="39" t="str">
        <x:v>関東</x:v>
      </x:c>
      <x:c r="G10" s="39" t="str">
        <x:v>既存</x:v>
      </x:c>
      <x:c r="H10" s="39" t="str">
        <x:v>保守</x:v>
      </x:c>
      <x:c r="I10" s="39" t="str">
        <x:v>保守A</x:v>
      </x:c>
      <x:c r="J10" s="48" t="n">
        <x:v>1</x:v>
      </x:c>
      <x:c r="K10" s="50" t="n">
        <x:v>120000</x:v>
      </x:c>
      <x:c r="L10" s="50" t="n">
        <x:v>120000</x:v>
      </x:c>
      <x:c r="M10" s="39" t="str">
        <x:v>完了</x:v>
      </x:c>
      <x:c r="N10" s="39" t="str">
        <x:v>Web</x:v>
      </x:c>
      <x:c r="O10" s="39" t="str">
        <x:v>表記確認</x:v>
      </x:c>
    </x:row>
    <x:row r="11">
      <x:c r="A11" s="39" t="str">
        <x:v>R0005</x:v>
      </x:c>
      <x:c r="B11" s="44" t="n">
        <x:v>46143</x:v>
      </x:c>
      <x:c r="C11" s="46" t="n">
        <x:v>46143</x:v>
      </x:c>
      <x:c r="D11" s="39" t="str">
        <x:v>営業2課</x:v>
      </x:c>
      <x:c r="E11" s="39" t="str">
        <x:v>鈴木花子</x:v>
      </x:c>
      <x:c r="F11" s="39" t="str">
        <x:v>関東</x:v>
      </x:c>
      <x:c r="G11" s="39" t="str">
        <x:v>新規</x:v>
      </x:c>
      <x:c r="H11" s="39" t="str">
        <x:v>導入</x:v>
      </x:c>
      <x:c r="I11" s="39" t="str">
        <x:v>導入B</x:v>
      </x:c>
      <x:c r="J11" s="48" t="n">
        <x:v>1</x:v>
      </x:c>
      <x:c r="K11" s="50" t="n">
        <x:v>80000</x:v>
      </x:c>
      <x:c r="L11" s="50" t="n">
        <x:v>80000</x:v>
      </x:c>
      <x:c r="M11" s="39" t="str">
        <x:v>完了</x:v>
      </x:c>
      <x:c r="N11" s="39" t="str">
        <x:v>紹介</x:v>
      </x:c>
      <x:c r="O11" s="39" t="str"/>
    </x:row>
    <x:row r="12">
      <x:c r="A12" s="39" t="str">
        <x:v>R0006</x:v>
      </x:c>
      <x:c r="B12" s="44" t="n">
        <x:v>46144</x:v>
      </x:c>
      <x:c r="C12" s="46" t="n">
        <x:v>46143</x:v>
      </x:c>
      <x:c r="D12" s="39" t="str">
        <x:v>営業2課</x:v>
      </x:c>
      <x:c r="E12" s="39" t="str">
        <x:v>鈴木花子</x:v>
      </x:c>
      <x:c r="F12" s="39" t="str">
        <x:v>関東</x:v>
      </x:c>
      <x:c r="G12" s="39" t="str">
        <x:v>既存</x:v>
      </x:c>
      <x:c r="H12" s="39" t="str">
        <x:v>保守</x:v>
      </x:c>
      <x:c r="I12" s="39" t="str">
        <x:v>保守A</x:v>
      </x:c>
      <x:c r="J12" s="48" t="n">
        <x:v>2</x:v>
      </x:c>
      <x:c r="K12" s="50" t="n">
        <x:v>120000</x:v>
      </x:c>
      <x:c r="L12" s="50" t="n">
        <x:v>240000</x:v>
      </x:c>
      <x:c r="M12" s="39" t="str">
        <x:v>完了</x:v>
      </x:c>
      <x:c r="N12" s="39" t="str">
        <x:v>Web</x:v>
      </x:c>
      <x:c r="O12" s="39" t="str"/>
    </x:row>
    <x:row r="13">
      <x:c r="A13" s="39" t="str">
        <x:v>R0007</x:v>
      </x:c>
      <x:c r="B13" s="44" t="n">
        <x:v>46147</x:v>
      </x:c>
      <x:c r="C13" s="46" t="n">
        <x:v>46143</x:v>
      </x:c>
      <x:c r="D13" s="39" t="str">
        <x:v>営業2課</x:v>
      </x:c>
      <x:c r="E13" s="39" t="str">
        <x:v>田中一郎</x:v>
      </x:c>
      <x:c r="F13" s="39" t="str">
        <x:v>関西</x:v>
      </x:c>
      <x:c r="G13" s="39" t="str">
        <x:v>新規</x:v>
      </x:c>
      <x:c r="H13" s="39" t="str">
        <x:v>研修</x:v>
      </x:c>
      <x:c r="I13" s="39" t="str">
        <x:v>研修C</x:v>
      </x:c>
      <x:c r="J13" s="48" t="n">
        <x:v>2</x:v>
      </x:c>
      <x:c r="K13" s="50" t="n">
        <x:v>50000</x:v>
      </x:c>
      <x:c r="L13" s="50" t="n">
        <x:v>100000</x:v>
      </x:c>
      <x:c r="M13" s="39" t="str">
        <x:v>進行中</x:v>
      </x:c>
      <x:c r="N13" s="39" t="str">
        <x:v>イベント</x:v>
      </x:c>
      <x:c r="O13" s="39" t="str"/>
    </x:row>
    <x:row r="14">
      <x:c r="A14" s="39" t="str">
        <x:v>R0008</x:v>
      </x:c>
      <x:c r="B14" s="44" t="n">
        <x:v>46148</x:v>
      </x:c>
      <x:c r="C14" s="46" t="n">
        <x:v>46143</x:v>
      </x:c>
      <x:c r="D14" s="39" t="str">
        <x:v>営業2課</x:v>
      </x:c>
      <x:c r="E14" s="39" t="str">
        <x:v>田中一郎</x:v>
      </x:c>
      <x:c r="F14" s="39" t="str">
        <x:v>中部</x:v>
      </x:c>
      <x:c r="G14" s="39" t="str">
        <x:v>既存</x:v>
      </x:c>
      <x:c r="H14" s="39" t="str">
        <x:v>導入</x:v>
      </x:c>
      <x:c r="I14" s="39" t="str">
        <x:v>導入B</x:v>
      </x:c>
      <x:c r="J14" s="48" t="n">
        <x:v>3</x:v>
      </x:c>
      <x:c r="K14" s="50" t="n">
        <x:v>80000</x:v>
      </x:c>
      <x:c r="L14" s="50" t="n">
        <x:v>240000</x:v>
      </x:c>
      <x:c r="M14" s="39" t="str">
        <x:v>完了</x:v>
      </x:c>
      <x:c r="N14" s="39" t="str">
        <x:v>電話</x:v>
      </x:c>
      <x:c r="O14" s="39" t="str"/>
    </x:row>
    <x:row r="15">
      <x:c r="A15" s="39" t="str">
        <x:v>R0009</x:v>
      </x:c>
      <x:c r="B15" s="44" t="n">
        <x:v>46144</x:v>
      </x:c>
      <x:c r="C15" s="46" t="n">
        <x:v>46143</x:v>
      </x:c>
      <x:c r="D15" s="39" t="str">
        <x:v>技術部</x:v>
      </x:c>
      <x:c r="E15" s="39" t="str">
        <x:v>高橋健</x:v>
      </x:c>
      <x:c r="F15" s="39" t="str">
        <x:v>関西</x:v>
      </x:c>
      <x:c r="G15" s="39" t="str">
        <x:v>既存</x:v>
      </x:c>
      <x:c r="H15" s="39" t="str">
        <x:v>保守</x:v>
      </x:c>
      <x:c r="I15" s="39" t="str">
        <x:v>保守A</x:v>
      </x:c>
      <x:c r="J15" s="48" t="n">
        <x:v>1</x:v>
      </x:c>
      <x:c r="K15" s="50" t="n">
        <x:v>120000</x:v>
      </x:c>
      <x:c r="L15" s="50" t="n">
        <x:v>120000</x:v>
      </x:c>
      <x:c r="M15" s="39" t="str">
        <x:v>完了</x:v>
      </x:c>
      <x:c r="N15" s="39" t="str">
        <x:v>紹介</x:v>
      </x:c>
      <x:c r="O15" s="39" t="str"/>
    </x:row>
    <x:row r="16">
      <x:c r="A16" s="39" t="str">
        <x:v>R0010</x:v>
      </x:c>
      <x:c r="B16" s="44" t="n">
        <x:v>46145</x:v>
      </x:c>
      <x:c r="C16" s="46" t="n">
        <x:v>46143</x:v>
      </x:c>
      <x:c r="D16" s="39" t="str">
        <x:v>技術部</x:v>
      </x:c>
      <x:c r="E16" s="39" t="str">
        <x:v>高橋健</x:v>
      </x:c>
      <x:c r="F16" s="39" t="str">
        <x:v>関東</x:v>
      </x:c>
      <x:c r="G16" s="39" t="str">
        <x:v>新規</x:v>
      </x:c>
      <x:c r="H16" s="39" t="str">
        <x:v>導入</x:v>
      </x:c>
      <x:c r="I16" s="39" t="str">
        <x:v>導入B</x:v>
      </x:c>
      <x:c r="J16" s="48" t="n">
        <x:v>2</x:v>
      </x:c>
      <x:c r="K16" s="50" t="n">
        <x:v>80000</x:v>
      </x:c>
      <x:c r="L16" s="50" t="n">
        <x:v>160000</x:v>
      </x:c>
      <x:c r="M16" s="39" t="str">
        <x:v>進行中</x:v>
      </x:c>
      <x:c r="N16" s="39" t="str">
        <x:v>Web</x:v>
      </x:c>
      <x:c r="O16" s="39" t="str"/>
    </x:row>
    <x:row r="17">
      <x:c r="A17" s="39" t="str">
        <x:v>R0011</x:v>
      </x:c>
      <x:c r="B17" s="44" t="n">
        <x:v>46149</x:v>
      </x:c>
      <x:c r="C17" s="46" t="n">
        <x:v>46143</x:v>
      </x:c>
      <x:c r="D17" s="39" t="str">
        <x:v>技術部</x:v>
      </x:c>
      <x:c r="E17" s="39" t="str">
        <x:v>伊藤美咲</x:v>
      </x:c>
      <x:c r="F17" s="39" t="str">
        <x:v>中部</x:v>
      </x:c>
      <x:c r="G17" s="39" t="str">
        <x:v>既存</x:v>
      </x:c>
      <x:c r="H17" s="39" t="str">
        <x:v>研修</x:v>
      </x:c>
      <x:c r="I17" s="39" t="str">
        <x:v>研修C</x:v>
      </x:c>
      <x:c r="J17" s="48" t="n">
        <x:v>1</x:v>
      </x:c>
      <x:c r="K17" s="50" t="n">
        <x:v>50000</x:v>
      </x:c>
      <x:c r="L17" s="50" t="n">
        <x:v>50000</x:v>
      </x:c>
      <x:c r="M17" s="39" t="str">
        <x:v>完了</x:v>
      </x:c>
      <x:c r="N17" s="39" t="str">
        <x:v>イベント</x:v>
      </x:c>
      <x:c r="O17" s="39" t="str"/>
    </x:row>
    <x:row r="18">
      <x:c r="A18" s="39" t="str">
        <x:v>R0012</x:v>
      </x:c>
      <x:c r="B18" s="44" t="n">
        <x:v>46150</x:v>
      </x:c>
      <x:c r="C18" s="46" t="n">
        <x:v>46143</x:v>
      </x:c>
      <x:c r="D18" s="39" t="str">
        <x:v>技術部</x:v>
      </x:c>
      <x:c r="E18" s="39" t="str">
        <x:v>伊藤美咲</x:v>
      </x:c>
      <x:c r="F18" s="39" t="str">
        <x:v>関西</x:v>
      </x:c>
      <x:c r="G18" s="39" t="str">
        <x:v>新規</x:v>
      </x:c>
      <x:c r="H18" s="39" t="str">
        <x:v>保守</x:v>
      </x:c>
      <x:c r="I18" s="39" t="str">
        <x:v>保守A</x:v>
      </x:c>
      <x:c r="J18" s="48" t="n">
        <x:v>2</x:v>
      </x:c>
      <x:c r="K18" s="50" t="n">
        <x:v>120000</x:v>
      </x:c>
      <x:c r="L18" s="50" t="n">
        <x:v>240000</x:v>
      </x:c>
      <x:c r="M18" s="39" t="str">
        <x:v>完了</x:v>
      </x:c>
      <x:c r="N18" s="39" t="str">
        <x:v>電話</x:v>
      </x:c>
      <x:c r="O18" s="39" t="str"/>
    </x:row>
    <x:row r="19">
      <x:c r="A19" s="39" t="str">
        <x:v>R0016</x:v>
      </x:c>
      <x:c r="B19" s="44" t="n">
        <x:v>46176</x:v>
      </x:c>
      <x:c r="C19" s="46" t="n">
        <x:v>46174</x:v>
      </x:c>
      <x:c r="D19" s="39" t="str">
        <x:v>営業1課</x:v>
      </x:c>
      <x:c r="E19" s="39" t="str">
        <x:v>山本直子</x:v>
      </x:c>
      <x:c r="F19" s="39" t="str">
        <x:v>関西</x:v>
      </x:c>
      <x:c r="G19" s="39" t="str">
        <x:v>既存</x:v>
      </x:c>
      <x:c r="H19" s="39" t="str">
        <x:v>保守</x:v>
      </x:c>
      <x:c r="I19" s="39" t="str">
        <x:v>保守A</x:v>
      </x:c>
      <x:c r="J19" s="48" t="n">
        <x:v>1</x:v>
      </x:c>
      <x:c r="K19" s="50" t="n">
        <x:v>120000</x:v>
      </x:c>
      <x:c r="L19" s="50" t="n">
        <x:v>120000</x:v>
      </x:c>
      <x:c r="M19" s="39" t="str">
        <x:v>完了</x:v>
      </x:c>
      <x:c r="N19" s="39" t="str">
        <x:v>紹介</x:v>
      </x:c>
      <x:c r="O19" s="39" t="str">
        <x:v>可視化追加</x:v>
      </x:c>
    </x:row>
    <x:row r="20">
      <x:c r="A20" s="39" t="str">
        <x:v>R0017</x:v>
      </x:c>
      <x:c r="B20" s="44" t="n">
        <x:v>46183</x:v>
      </x:c>
      <x:c r="C20" s="46" t="n">
        <x:v>46174</x:v>
      </x:c>
      <x:c r="D20" s="39" t="str">
        <x:v>営業2課</x:v>
      </x:c>
      <x:c r="E20" s="39" t="str">
        <x:v>田中一郎</x:v>
      </x:c>
      <x:c r="F20" s="39" t="str">
        <x:v>関東</x:v>
      </x:c>
      <x:c r="G20" s="39" t="str">
        <x:v>新規</x:v>
      </x:c>
      <x:c r="H20" s="39" t="str">
        <x:v>導入</x:v>
      </x:c>
      <x:c r="I20" s="39" t="str">
        <x:v>導入B</x:v>
      </x:c>
      <x:c r="J20" s="48" t="n">
        <x:v>2</x:v>
      </x:c>
      <x:c r="K20" s="50" t="n">
        <x:v>80000</x:v>
      </x:c>
      <x:c r="L20" s="50" t="n">
        <x:v>160000</x:v>
      </x:c>
      <x:c r="M20" s="39" t="str">
        <x:v>進行中</x:v>
      </x:c>
      <x:c r="N20" s="39" t="str">
        <x:v>Web</x:v>
      </x:c>
      <x:c r="O20" s="39" t="str">
        <x:v>可視化追加</x:v>
      </x:c>
    </x:row>
    <x:row r="21">
      <x:c r="A21" s="39" t="str">
        <x:v>R0018</x:v>
      </x:c>
      <x:c r="B21" s="44" t="n">
        <x:v>46191</x:v>
      </x:c>
      <x:c r="C21" s="46" t="n">
        <x:v>46174</x:v>
      </x:c>
      <x:c r="D21" s="39" t="str">
        <x:v>技術部</x:v>
      </x:c>
      <x:c r="E21" s="39" t="str">
        <x:v>伊藤美咲</x:v>
      </x:c>
      <x:c r="F21" s="39" t="str">
        <x:v>中部</x:v>
      </x:c>
      <x:c r="G21" s="39" t="str">
        <x:v>既存</x:v>
      </x:c>
      <x:c r="H21" s="39" t="str">
        <x:v>研修</x:v>
      </x:c>
      <x:c r="I21" s="39" t="str">
        <x:v>研修C</x:v>
      </x:c>
      <x:c r="J21" s="48" t="n">
        <x:v>1</x:v>
      </x:c>
      <x:c r="K21" s="50" t="n">
        <x:v>50000</x:v>
      </x:c>
      <x:c r="L21" s="50" t="n">
        <x:v>50000</x:v>
      </x:c>
      <x:c r="M21" s="39" t="str">
        <x:v>完了</x:v>
      </x:c>
      <x:c r="N21" s="39" t="str">
        <x:v>イベント</x:v>
      </x:c>
      <x:c r="O21" s="39" t="str">
        <x:v>可視化追加</x:v>
      </x:c>
    </x:row>
  </x:sheetData>
  <x:mergeCells>
    <x:mergeCell ref="A1:O2"/>
  </x:mergeCells>
  <x:pageMargins left="0.7" right="0.7" top="0.75" bottom="0.75" header="0.3" footer="0.3"/>
  <x:tableParts count="1">
    <x:tablePart xmlns:r="http://schemas.openxmlformats.org/officeDocument/2006/relationships" r:id="R21afde3d760848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16" hidden="0" customWidth="1"/>
    <x:col min="4" max="4" width="28" hidden="0" customWidth="1"/>
  </x:cols>
  <x:sheetData>
    <x:row r="1" ht="34" customHeight="1">
      <x:c r="A1" s="6" t="str">
        <x:v>月次報告シートの設計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項目</x:v>
      </x:c>
      <x:c r="B4" s="16" t="str">
        <x:v>教材で使用する内容</x:v>
      </x:c>
      <x:c r="C4" s="16" t="str">
        <x:v>受講者の確認</x:v>
      </x:c>
      <x:c r="D4" s="16" t="str">
        <x:v>補足</x:v>
      </x:c>
    </x:row>
    <x:row r="5">
      <x:c r="A5" s="24" t="str">
        <x:v>報告相手</x:v>
      </x:c>
      <x:c r="B5" s="24" t="str">
        <x:v>月次実績を確認する部門責任者</x:v>
      </x:c>
      <x:c r="C5" s="28" t="str">
        <x:v>未確認</x:v>
      </x:c>
      <x:c r="D5" s="24" t="str">
        <x:v>誰が見るか</x:v>
      </x:c>
    </x:row>
    <x:row r="6">
      <x:c r="A6" s="24" t="str">
        <x:v>判断目的</x:v>
      </x:c>
      <x:c r="B6" s="24" t="str">
        <x:v>月別の売上変化と部門別の実績件数を確認</x:v>
      </x:c>
      <x:c r="C6" s="28" t="str">
        <x:v>未確認</x:v>
      </x:c>
      <x:c r="D6" s="24" t="str">
        <x:v>何を判断するか</x:v>
      </x:c>
    </x:row>
    <x:row r="7">
      <x:c r="A7" s="24" t="str">
        <x:v>対象期間</x:v>
      </x:c>
      <x:c r="B7" s="24" t="str">
        <x:v>2026年4月～6月</x:v>
      </x:c>
      <x:c r="C7" s="28" t="str">
        <x:v>未確認</x:v>
      </x:c>
      <x:c r="D7" s="24" t="str">
        <x:v>どの期間か</x:v>
      </x:c>
    </x:row>
    <x:row r="8">
      <x:c r="A8" s="24" t="str">
        <x:v>主要指標</x:v>
      </x:c>
      <x:c r="B8" s="24" t="str">
        <x:v>売上合計・実績件数・完了件数</x:v>
      </x:c>
      <x:c r="C8" s="28" t="str">
        <x:v>未確認</x:v>
      </x:c>
      <x:c r="D8" s="24" t="str">
        <x:v>最初に見る数字</x:v>
      </x:c>
    </x:row>
    <x:row r="9">
      <x:c r="A9" s="24" t="str">
        <x:v>作成するグラフ</x:v>
      </x:c>
      <x:c r="B9" s="24" t="str">
        <x:v>月別売上・部門別実績件数</x:v>
      </x:c>
      <x:c r="C9" s="28" t="str">
        <x:v>未確認</x:v>
      </x:c>
      <x:c r="D9" s="24" t="str">
        <x:v>必須は2つ</x:v>
      </x:c>
    </x:row>
    <x:row r="10">
      <x:c r="A10" s="24" t="str">
        <x:v>金額単位</x:v>
      </x:c>
      <x:c r="B10" s="24" t="str">
        <x:v>円</x:v>
      </x:c>
      <x:c r="C10" s="28" t="str">
        <x:v>未確認</x:v>
      </x:c>
      <x:c r="D10" s="24" t="str">
        <x:v>単位を統一</x:v>
      </x:c>
    </x:row>
    <x:row r="11">
      <x:c r="A11" s="24" t="str">
        <x:v>件数単位</x:v>
      </x:c>
      <x:c r="B11" s="24" t="str">
        <x:v>件</x:v>
      </x:c>
      <x:c r="C11" s="28" t="str">
        <x:v>未確認</x:v>
      </x:c>
      <x:c r="D11" s="24" t="str">
        <x:v>単位を統一</x:v>
      </x:c>
    </x:row>
    <x:row r="12">
      <x:c r="A12" s="24" t="str">
        <x:v>完成状態</x:v>
      </x:c>
      <x:c r="B12" s="24" t="str">
        <x:v>3指標と2グラフを1画面で確認</x:v>
      </x:c>
      <x:c r="C12" s="28" t="str">
        <x:v>未確認</x:v>
      </x:c>
      <x:c r="D12" s="24" t="str">
        <x:v>情報を増やしすぎない</x:v>
      </x:c>
    </x:row>
  </x:sheetData>
  <x:mergeCells>
    <x:mergeCell ref="A1:D2"/>
  </x:mergeCells>
  <x:dataValidations count="1">
    <x:dataValidation type="list" sqref="C5:C12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28" hidden="0" customWidth="1"/>
  </x:cols>
  <x:sheetData>
    <x:row r="1" ht="34" customHeight="1">
      <x:c r="A1" s="6" t="str">
        <x:v>月別売上　グラフ元表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年月</x:v>
      </x:c>
      <x:c r="B4" s="16" t="str">
        <x:v>売上金額</x:v>
      </x:c>
    </x:row>
    <x:row r="5">
      <x:c r="A5" s="54" t="str">
        <x:v>2026-04</x:v>
      </x:c>
      <x:c r="B5" s="52" t="n">
        <x:f>SUMIFS('01_元データ'!$L$4:$L$21,'01_元データ'!$C$4:$C$21,DATE(2026,4,1))</x:f>
        <x:v>300000</x:v>
      </x:c>
    </x:row>
    <x:row r="6">
      <x:c r="A6" s="54" t="str">
        <x:v>2026-05</x:v>
      </x:c>
      <x:c r="B6" s="52" t="n">
        <x:f>SUMIFS('01_元データ'!$L$4:$L$21,'01_元データ'!$C$4:$C$21,DATE(2026,5,1))</x:f>
        <x:v>1780000</x:v>
      </x:c>
    </x:row>
    <x:row r="7">
      <x:c r="A7" s="54" t="str">
        <x:v>2026-06</x:v>
      </x:c>
      <x:c r="B7" s="52" t="n">
        <x:f>SUMIFS('01_元データ'!$L$4:$L$21,'01_元データ'!$C$4:$C$21,DATE(2026,6,1))</x:f>
        <x:v>330000</x:v>
      </x:c>
    </x:row>
    <x:row r="8">
      <x:c r="A8" s="24" t="str">
        <x:v>総計</x:v>
      </x:c>
      <x:c r="B8" s="52" t="n">
        <x:f>SUM(B5:B7)</x:f>
        <x:v>2410000</x:v>
      </x:c>
    </x:row>
    <x:row r="10">
      <x:c r="A10" s="32" t="str">
        <x:v>グラフ作成ではA4:B7を選択し、総計行A8:B8は含めません。</x:v>
      </x:c>
      <x:c r="B10" s="32"/>
      <x:c r="C10" s="32"/>
      <x:c r="D10" s="32"/>
    </x:row>
  </x:sheetData>
  <x:mergeCells>
    <x:mergeCell ref="A1:D2"/>
    <x:mergeCell ref="A10:D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28" hidden="0" customWidth="1"/>
  </x:cols>
  <x:sheetData>
    <x:row r="1" ht="34" customHeight="1">
      <x:c r="A1" s="6" t="str">
        <x:v>部門別実績件数　グラフ元表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部門</x:v>
      </x:c>
      <x:c r="B4" s="16" t="str">
        <x:v>実績件数</x:v>
      </x:c>
    </x:row>
    <x:row r="5">
      <x:c r="A5" s="24" t="str">
        <x:v>営業1課</x:v>
      </x:c>
      <x:c r="B5" s="56" t="n">
        <x:f>COUNTIF('01_元データ'!$D$4:$D$21,A5)</x:f>
        <x:v>6</x:v>
      </x:c>
    </x:row>
    <x:row r="6">
      <x:c r="A6" s="24" t="str">
        <x:v>営業2課</x:v>
      </x:c>
      <x:c r="B6" s="56" t="n">
        <x:f>COUNTIF('01_元データ'!$D$4:$D$21,A6)</x:f>
        <x:v>6</x:v>
      </x:c>
    </x:row>
    <x:row r="7">
      <x:c r="A7" s="24" t="str">
        <x:v>技術部</x:v>
      </x:c>
      <x:c r="B7" s="56" t="n">
        <x:f>COUNTIF('01_元データ'!$D$4:$D$21,A7)</x:f>
        <x:v>6</x:v>
      </x:c>
    </x:row>
    <x:row r="8">
      <x:c r="A8" s="24" t="str">
        <x:v>総計</x:v>
      </x:c>
      <x:c r="B8" s="56" t="n">
        <x:f>SUM(B5:B7)</x:f>
        <x:v>18</x:v>
      </x:c>
    </x:row>
    <x:row r="10">
      <x:c r="A10" s="32" t="str">
        <x:v>グラフ作成ではA4:B7を選択し、総計行A8:B8は含めません。</x:v>
      </x:c>
      <x:c r="B10" s="32"/>
      <x:c r="C10" s="32"/>
      <x:c r="D10" s="32"/>
    </x:row>
  </x:sheetData>
  <x:mergeCells>
    <x:mergeCell ref="A1:D2"/>
    <x:mergeCell ref="A10:D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34" hidden="0" customWidth="1"/>
  </x:cols>
  <x:sheetData>
    <x:row r="1" ht="34" customHeight="1">
      <x:c r="A1" s="6" t="str">
        <x:v>追加練習：担当者別売上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担当者</x:v>
      </x:c>
      <x:c r="B4" s="16" t="str">
        <x:v>売上金額</x:v>
      </x:c>
    </x:row>
    <x:row r="5">
      <x:c r="A5" s="39" t="str">
        <x:v>佐藤太郎</x:v>
      </x:c>
      <x:c r="B5" s="50" t="n">
        <x:f>SUMIF('01_元データ'!$E$4:$E$21,A5,'01_元データ'!$L$4:$L$21)</x:f>
        <x:v>400000</x:v>
      </x:c>
    </x:row>
    <x:row r="6">
      <x:c r="A6" s="39" t="str">
        <x:v>山本直子</x:v>
      </x:c>
      <x:c r="B6" s="50" t="n">
        <x:f>SUMIF('01_元データ'!$E$4:$E$21,A6,'01_元データ'!$L$4:$L$21)</x:f>
        <x:v>390000</x:v>
      </x:c>
    </x:row>
    <x:row r="7">
      <x:c r="A7" s="39" t="str">
        <x:v>鈴木花子</x:v>
      </x:c>
      <x:c r="B7" s="50" t="n">
        <x:f>SUMIF('01_元データ'!$E$4:$E$21,A7,'01_元データ'!$L$4:$L$21)</x:f>
        <x:v>400000</x:v>
      </x:c>
    </x:row>
    <x:row r="8">
      <x:c r="A8" s="39" t="str">
        <x:v>田中一郎</x:v>
      </x:c>
      <x:c r="B8" s="50" t="n">
        <x:f>SUMIF('01_元データ'!$E$4:$E$21,A8,'01_元データ'!$L$4:$L$21)</x:f>
        <x:v>500000</x:v>
      </x:c>
    </x:row>
    <x:row r="9">
      <x:c r="A9" s="39" t="str">
        <x:v>高橋健</x:v>
      </x:c>
      <x:c r="B9" s="50" t="n">
        <x:f>SUMIF('01_元データ'!$E$4:$E$21,A9,'01_元データ'!$L$4:$L$21)</x:f>
        <x:v>380000</x:v>
      </x:c>
    </x:row>
    <x:row r="10">
      <x:c r="A10" s="39" t="str">
        <x:v>伊藤美咲</x:v>
      </x:c>
      <x:c r="B10" s="50" t="n">
        <x:f>SUMIF('01_元データ'!$E$4:$E$21,A10,'01_元データ'!$L$4:$L$21)</x:f>
        <x:v>340000</x:v>
      </x:c>
    </x:row>
    <x:row r="12">
      <x:c r="A12" s="60" t="str">
        <x:v>この表を使った担当者別横棒グラフは追加練習です。必須提出には含みません。</x:v>
      </x:c>
      <x:c r="B12" s="60"/>
      <x:c r="C12" s="60"/>
      <x:c r="D12" s="60"/>
    </x:row>
  </x:sheetData>
  <x:mergeCells>
    <x:mergeCell ref="A1:D2"/>
    <x:mergeCell ref="A12:D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6" t="str">
        <x:v>月次実績レポート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65" t="str">
        <x:v>対象期間：2026年4月～6月　　最終更新日：作業日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5">
      <x:c r="A5" s="69" t="str">
        <x:v>売上合計</x:v>
      </x:c>
      <x:c r="B5" s="69"/>
      <x:c r="C5" s="69"/>
      <x:c r="D5" s="69"/>
      <x:c r="E5" s="69" t="str">
        <x:v>実績件数</x:v>
      </x:c>
      <x:c r="F5" s="69"/>
      <x:c r="G5" s="69"/>
      <x:c r="H5" s="69"/>
      <x:c r="I5" s="69" t="str">
        <x:v>完了件数</x:v>
      </x:c>
      <x:c r="J5" s="69"/>
      <x:c r="K5" s="69"/>
      <x:c r="L5" s="69"/>
    </x:row>
    <x:row r="6">
      <x:c r="A6" s="76" t="n">
        <x:f>SUM('01_元データ'!L4:L21)</x:f>
        <x:v>2410000</x:v>
      </x:c>
      <x:c r="B6" s="76"/>
      <x:c r="C6" s="76"/>
      <x:c r="D6" s="76"/>
      <x:c r="E6" s="84" t="n">
        <x:f>COUNTA('01_元データ'!A4:A21)</x:f>
        <x:v>18</x:v>
      </x:c>
      <x:c r="F6" s="84"/>
      <x:c r="G6" s="84"/>
      <x:c r="H6" s="84"/>
      <x:c r="I6" s="84" t="n">
        <x:f>COUNTIF('01_元データ'!M4:M21,"完了")</x:f>
        <x:v>13</x:v>
      </x:c>
      <x:c r="J6" s="84"/>
      <x:c r="K6" s="84"/>
      <x:c r="L6" s="84"/>
    </x:row>
    <x:row r="7">
      <x:c r="A7" s="76"/>
      <x:c r="B7" s="76"/>
      <x:c r="C7" s="76"/>
      <x:c r="D7" s="76"/>
      <x:c r="E7" s="84"/>
      <x:c r="F7" s="84"/>
      <x:c r="G7" s="84"/>
      <x:c r="H7" s="84"/>
      <x:c r="I7" s="84"/>
      <x:c r="J7" s="84"/>
      <x:c r="K7" s="84"/>
      <x:c r="L7" s="84"/>
    </x:row>
    <x:row r="8">
      <x:c r="A8" s="76"/>
      <x:c r="B8" s="76"/>
      <x:c r="C8" s="76"/>
      <x:c r="D8" s="76"/>
      <x:c r="E8" s="84"/>
      <x:c r="F8" s="84"/>
      <x:c r="G8" s="84"/>
      <x:c r="H8" s="84"/>
      <x:c r="I8" s="84"/>
      <x:c r="J8" s="84"/>
      <x:c r="K8" s="84"/>
      <x:c r="L8" s="84"/>
    </x:row>
    <x:row r="26">
      <x:c r="A26" s="88" t="str">
        <x:v>完成見本です。作業シートでは、同じ色にする必要はありません。タイトル・数値・重ならない配置を優先します。</x:v>
      </x:c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</x:row>
  </x:sheetData>
  <x:mergeCells>
    <x:mergeCell ref="A1:L2"/>
    <x:mergeCell ref="A3:L3"/>
    <x:mergeCell ref="A5:D5"/>
    <x:mergeCell ref="A6:D8"/>
    <x:mergeCell ref="E5:H5"/>
    <x:mergeCell ref="E6:H8"/>
    <x:mergeCell ref="I5:L5"/>
    <x:mergeCell ref="I6:L8"/>
    <x:mergeCell ref="A26:L27"/>
  </x:mergeCells>
  <x:pageMargins left="0.7" right="0.7" top="0.75" bottom="0.75" header="0.3" footer="0.3"/>
  <x:drawing xmlns:r="http://schemas.openxmlformats.org/officeDocument/2006/relationships" r:id="R1af453a7b9384c16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6" t="str">
        <x:v>月次実績レポート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90" t="str">
        <x:v>対象期間：2026年4月～6月</x:v>
      </x:c>
      <x:c r="B3" s="90"/>
      <x:c r="C3" s="90"/>
      <x:c r="D3" s="90"/>
      <x:c r="E3" s="90"/>
      <x:c r="F3" s="90"/>
      <x:c r="G3" s="90"/>
      <x:c r="H3" s="90"/>
      <x:c r="I3" s="92" t="str">
        <x:v>最終更新日：</x:v>
      </x:c>
      <x:c r="J3" s="92"/>
      <x:c r="K3" s="92"/>
      <x:c r="L3" s="92"/>
    </x:row>
    <x:row r="5">
      <x:c r="A5" s="69" t="str">
        <x:v>売上合計</x:v>
      </x:c>
      <x:c r="B5" s="69"/>
      <x:c r="C5" s="69"/>
      <x:c r="D5" s="69"/>
      <x:c r="E5" s="69" t="str">
        <x:v>実績件数</x:v>
      </x:c>
      <x:c r="F5" s="69"/>
      <x:c r="G5" s="69"/>
      <x:c r="H5" s="69"/>
      <x:c r="I5" s="69" t="str">
        <x:v>完了件数</x:v>
      </x:c>
      <x:c r="J5" s="69"/>
      <x:c r="K5" s="69"/>
      <x:c r="L5" s="69"/>
    </x:row>
    <x:row r="6">
      <x:c r="A6" s="76" t="n">
        <x:f>SUM('01_元データ'!L4:L21)</x:f>
        <x:v>2410000</x:v>
      </x:c>
      <x:c r="B6" s="76"/>
      <x:c r="C6" s="76"/>
      <x:c r="D6" s="76"/>
      <x:c r="E6" s="84" t="n">
        <x:f>COUNTA('01_元データ'!A4:A21)</x:f>
        <x:v>18</x:v>
      </x:c>
      <x:c r="F6" s="84"/>
      <x:c r="G6" s="84"/>
      <x:c r="H6" s="84"/>
      <x:c r="I6" s="84" t="n">
        <x:f>COUNTIF('01_元データ'!M4:M21,"完了")</x:f>
        <x:v>13</x:v>
      </x:c>
      <x:c r="J6" s="84"/>
      <x:c r="K6" s="84"/>
      <x:c r="L6" s="84"/>
    </x:row>
    <x:row r="7">
      <x:c r="A7" s="76"/>
      <x:c r="B7" s="76"/>
      <x:c r="C7" s="76"/>
      <x:c r="D7" s="76"/>
      <x:c r="E7" s="84"/>
      <x:c r="F7" s="84"/>
      <x:c r="G7" s="84"/>
      <x:c r="H7" s="84"/>
      <x:c r="I7" s="84"/>
      <x:c r="J7" s="84"/>
      <x:c r="K7" s="84"/>
      <x:c r="L7" s="84"/>
    </x:row>
    <x:row r="8">
      <x:c r="A8" s="76"/>
      <x:c r="B8" s="76"/>
      <x:c r="C8" s="76"/>
      <x:c r="D8" s="76"/>
      <x:c r="E8" s="84"/>
      <x:c r="F8" s="84"/>
      <x:c r="G8" s="84"/>
      <x:c r="H8" s="84"/>
      <x:c r="I8" s="84"/>
      <x:c r="J8" s="84"/>
      <x:c r="K8" s="84"/>
      <x:c r="L8" s="84"/>
    </x:row>
    <x:row r="10">
      <x:c r="A10" s="97" t="str">
        <x:v>ここへ「月別売上推移」グラフを配置</x:v>
      </x:c>
      <x:c r="B10" s="97"/>
      <x:c r="C10" s="97"/>
      <x:c r="D10" s="97"/>
      <x:c r="E10" s="97"/>
      <x:c r="F10" s="97"/>
      <x:c r="G10" s="97" t="str">
        <x:v>ここへ「部門別実績件数」グラフを配置</x:v>
      </x:c>
      <x:c r="H10" s="97"/>
      <x:c r="I10" s="97"/>
      <x:c r="J10" s="97"/>
      <x:c r="K10" s="97"/>
      <x:c r="L10" s="97"/>
    </x:row>
    <x:row r="11">
      <x:c r="A11" s="97"/>
      <x:c r="B11" s="97"/>
      <x:c r="C11" s="97"/>
      <x:c r="D11" s="97"/>
      <x:c r="E11" s="97"/>
      <x:c r="F11" s="97"/>
      <x:c r="G11" s="97"/>
      <x:c r="H11" s="97"/>
      <x:c r="I11" s="97"/>
      <x:c r="J11" s="97"/>
      <x:c r="K11" s="97"/>
      <x:c r="L11" s="97"/>
    </x:row>
    <x:row r="12">
      <x:c r="A12" s="97"/>
      <x:c r="B12" s="97"/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</x:row>
    <x:row r="13">
      <x:c r="A13" s="97"/>
      <x:c r="B13" s="97"/>
      <x:c r="C13" s="97"/>
      <x:c r="D13" s="97"/>
      <x:c r="E13" s="97"/>
      <x:c r="F13" s="97"/>
      <x:c r="G13" s="97"/>
      <x:c r="H13" s="97"/>
      <x:c r="I13" s="97"/>
      <x:c r="J13" s="97"/>
      <x:c r="K13" s="97"/>
      <x:c r="L13" s="97"/>
    </x:row>
    <x:row r="14">
      <x:c r="A14" s="97"/>
      <x:c r="B14" s="97"/>
      <x:c r="C14" s="97"/>
      <x:c r="D14" s="97"/>
      <x:c r="E14" s="97"/>
      <x:c r="F14" s="97"/>
      <x:c r="G14" s="97"/>
      <x:c r="H14" s="97"/>
      <x:c r="I14" s="97"/>
      <x:c r="J14" s="97"/>
      <x:c r="K14" s="97"/>
      <x:c r="L14" s="97"/>
    </x:row>
    <x:row r="15">
      <x:c r="A15" s="97"/>
      <x:c r="B15" s="97"/>
      <x:c r="C15" s="97"/>
      <x:c r="D15" s="97"/>
      <x:c r="E15" s="97"/>
      <x:c r="F15" s="97"/>
      <x:c r="G15" s="97"/>
      <x:c r="H15" s="97"/>
      <x:c r="I15" s="97"/>
      <x:c r="J15" s="97"/>
      <x:c r="K15" s="97"/>
      <x:c r="L15" s="97"/>
    </x:row>
    <x:row r="16">
      <x:c r="A16" s="97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</x:row>
    <x:row r="17">
      <x:c r="A17" s="97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</x:row>
    <x:row r="18">
      <x:c r="A18" s="97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</x:row>
    <x:row r="19">
      <x:c r="A19" s="97"/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</x:row>
    <x:row r="20">
      <x:c r="A20" s="97"/>
      <x:c r="B20" s="97"/>
      <x:c r="C20" s="97"/>
      <x:c r="D20" s="97"/>
      <x:c r="E20" s="97"/>
      <x:c r="F20" s="97"/>
      <x:c r="G20" s="97"/>
      <x:c r="H20" s="97"/>
      <x:c r="I20" s="97"/>
      <x:c r="J20" s="97"/>
      <x:c r="K20" s="97"/>
      <x:c r="L20" s="97"/>
    </x:row>
    <x:row r="21">
      <x:c r="A21" s="97"/>
      <x:c r="B21" s="97"/>
      <x:c r="C21" s="97"/>
      <x:c r="D21" s="97"/>
      <x:c r="E21" s="97"/>
      <x:c r="F21" s="97"/>
      <x:c r="G21" s="97"/>
      <x:c r="H21" s="97"/>
      <x:c r="I21" s="97"/>
      <x:c r="J21" s="97"/>
      <x:c r="K21" s="97"/>
      <x:c r="L21" s="97"/>
    </x:row>
    <x:row r="22">
      <x:c r="A22" s="97"/>
      <x:c r="B22" s="97"/>
      <x:c r="C22" s="97"/>
      <x:c r="D22" s="97"/>
      <x:c r="E22" s="97"/>
      <x:c r="F22" s="97"/>
      <x:c r="G22" s="97"/>
      <x:c r="H22" s="97"/>
      <x:c r="I22" s="97"/>
      <x:c r="J22" s="97"/>
      <x:c r="K22" s="97"/>
      <x:c r="L22" s="97"/>
    </x:row>
    <x:row r="23">
      <x:c r="A23" s="97"/>
      <x:c r="B23" s="97"/>
      <x:c r="C23" s="97"/>
      <x:c r="D23" s="97"/>
      <x:c r="E23" s="97"/>
      <x:c r="F23" s="97"/>
      <x:c r="G23" s="97"/>
      <x:c r="H23" s="97"/>
      <x:c r="I23" s="97"/>
      <x:c r="J23" s="97"/>
      <x:c r="K23" s="97"/>
      <x:c r="L23" s="97"/>
    </x:row>
    <x:row r="25">
      <x:c r="A25" s="88" t="str">
        <x:v>確認メモ：2つのグラフへ総計を含めない／タイトルを変更する／グラフ同士を重ねない</x:v>
      </x:c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</x:row>
  </x:sheetData>
  <x:mergeCells>
    <x:mergeCell ref="A1:L2"/>
    <x:mergeCell ref="A3:H3"/>
    <x:mergeCell ref="I3:L3"/>
    <x:mergeCell ref="A5:D5"/>
    <x:mergeCell ref="A6:D8"/>
    <x:mergeCell ref="E5:H5"/>
    <x:mergeCell ref="E6:H8"/>
    <x:mergeCell ref="I5:L5"/>
    <x:mergeCell ref="I6:L8"/>
    <x:mergeCell ref="A10:F23"/>
    <x:mergeCell ref="G10:L23"/>
    <x:mergeCell ref="A25:L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48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報告相手と判断目的を先に決める理由</x:v>
      </x:c>
      <x:c r="C5" s="28" t="str"/>
      <x:c r="D5" s="24" t="str">
        <x:v>1～2文</x:v>
      </x:c>
    </x:row>
    <x:row r="6">
      <x:c r="A6" s="24" t="n">
        <x:v>2</x:v>
      </x:c>
      <x:c r="B6" s="24" t="str">
        <x:v>指標・表・グラフの役割の違い</x:v>
      </x:c>
      <x:c r="C6" s="28" t="str"/>
      <x:c r="D6" s="24" t="str">
        <x:v>1～2文</x:v>
      </x:c>
    </x:row>
    <x:row r="7">
      <x:c r="A7" s="24" t="n">
        <x:v>3</x:v>
      </x:c>
      <x:c r="B7" s="24" t="str">
        <x:v>月別売上と部門別件数で適したグラフが異なる理由</x:v>
      </x:c>
      <x:c r="C7" s="28" t="str"/>
      <x:c r="D7" s="24" t="str">
        <x:v>1～2文</x:v>
      </x:c>
    </x:row>
    <x:row r="8">
      <x:c r="A8" s="24" t="n">
        <x:v>4</x:v>
      </x:c>
      <x:c r="B8" s="24" t="str">
        <x:v>グラフへ総計を含めない理由</x:v>
      </x:c>
      <x:c r="C8" s="28" t="str"/>
      <x:c r="D8" s="24" t="str">
        <x:v>1～2文</x:v>
      </x:c>
    </x:row>
    <x:row r="9">
      <x:c r="A9" s="24" t="n">
        <x:v>5</x:v>
      </x:c>
      <x:c r="B9" s="24" t="str">
        <x:v>完成後に元データと同じ数値か確認する理由</x:v>
      </x:c>
      <x:c r="C9" s="28" t="str"/>
      <x:c r="D9" s="24" t="str">
        <x:v>1～2文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使用環境</x:v>
      </x:c>
      <x:c r="B12" s="24" t="str"/>
      <x:c r="C12" s="24" t="str">
        <x:v>パソコン版／Web版</x:v>
      </x:c>
      <x:c r="D12" s="24" t="str"/>
    </x:row>
    <x:row r="13">
      <x:c r="A13" s="24" t="str">
        <x:v>ファイル名</x:v>
      </x:c>
      <x:c r="B13" s="24" t="str"/>
      <x:c r="C13" s="24" t="str">
        <x:v>中級_第四章_月次報告_受講者名.xlsx</x:v>
      </x:c>
      <x:c r="D13" s="24" t="str"/>
    </x:row>
    <x:row r="14">
      <x:c r="A14" s="24" t="str">
        <x:v>報告設計</x:v>
      </x:c>
      <x:c r="B14" s="24" t="str">
        <x:v>未確認</x:v>
      </x:c>
      <x:c r="C14" s="24" t="str">
        <x:v>OK</x:v>
      </x:c>
      <x:c r="D14" s="24" t="str"/>
    </x:row>
    <x:row r="15">
      <x:c r="A15" s="24" t="str">
        <x:v>月別売上グラフ</x:v>
      </x:c>
      <x:c r="B15" s="24" t="str">
        <x:v>未確認</x:v>
      </x:c>
      <x:c r="C15" s="24" t="str">
        <x:v>OK</x:v>
      </x:c>
      <x:c r="D15" s="24" t="str"/>
    </x:row>
    <x:row r="16">
      <x:c r="A16" s="24" t="str">
        <x:v>部門別件数グラフ</x:v>
      </x:c>
      <x:c r="B16" s="24" t="str">
        <x:v>未確認</x:v>
      </x:c>
      <x:c r="C16" s="24" t="str">
        <x:v>OK</x:v>
      </x:c>
      <x:c r="D16" s="24" t="str"/>
    </x:row>
    <x:row r="17">
      <x:c r="A17" s="24" t="str">
        <x:v>報告シート配置</x:v>
      </x:c>
      <x:c r="B17" s="24" t="str">
        <x:v>未確認</x:v>
      </x:c>
      <x:c r="C17" s="24" t="str">
        <x:v>OK</x:v>
      </x:c>
      <x:c r="D17" s="24" t="str"/>
    </x:row>
    <x:row r="18">
      <x:c r="A18" s="24" t="str">
        <x:v>数値確認</x:v>
      </x:c>
      <x:c r="B18" s="24" t="str">
        <x:v>未確認</x:v>
      </x:c>
      <x:c r="C18" s="24" t="str">
        <x:v>OK</x:v>
      </x:c>
      <x:c r="D18" s="24" t="str"/>
    </x:row>
    <x:row r="19">
      <x:c r="A19" s="24" t="str">
        <x:v>報告相手</x:v>
      </x:c>
      <x:c r="B19" s="24" t="str"/>
      <x:c r="C19" s="24" t="str">
        <x:v>部門責任者</x:v>
      </x:c>
      <x:c r="D19" s="24" t="str"/>
    </x:row>
    <x:row r="20">
      <x:c r="A20" s="24" t="str">
        <x:v>判断目的</x:v>
      </x:c>
      <x:c r="B20" s="24" t="str"/>
      <x:c r="C20" s="24" t="str">
        <x:v>月別売上と部門別件数の確認</x:v>
      </x:c>
      <x:c r="D20" s="24" t="str"/>
    </x:row>
    <x:row r="21">
      <x:c r="A21" s="24" t="str">
        <x:v>対象期間</x:v>
      </x:c>
      <x:c r="B21" s="24" t="str"/>
      <x:c r="C21" s="24" t="str">
        <x:v>2026年4月～6月</x:v>
      </x:c>
      <x:c r="D21" s="24" t="str"/>
    </x:row>
    <x:row r="22">
      <x:c r="A22" s="24" t="str">
        <x:v>主要指標数</x:v>
      </x:c>
      <x:c r="B22" s="24" t="str"/>
      <x:c r="C22" s="24" t="str">
        <x:v>3</x:v>
      </x:c>
      <x:c r="D22" s="24" t="str"/>
    </x:row>
    <x:row r="23">
      <x:c r="A23" s="24" t="str">
        <x:v>作成したグラフ数</x:v>
      </x:c>
      <x:c r="B23" s="24" t="str"/>
      <x:c r="C23" s="24" t="str">
        <x:v>2</x:v>
      </x:c>
      <x:c r="D23" s="24" t="str"/>
    </x:row>
    <x:row r="24">
      <x:c r="A24" s="24" t="str">
        <x:v>月別売上のグラフ種類</x:v>
      </x:c>
      <x:c r="B24" s="24" t="str"/>
      <x:c r="C24" s="24" t="str">
        <x:v>折れ線／縦棒</x:v>
      </x:c>
      <x:c r="D24" s="24" t="str"/>
    </x:row>
    <x:row r="25">
      <x:c r="A25" s="24" t="str">
        <x:v>部門別件数のグラフ種類</x:v>
      </x:c>
      <x:c r="B25" s="24" t="str"/>
      <x:c r="C25" s="24" t="str">
        <x:v>縦棒／横棒</x:v>
      </x:c>
      <x:c r="D25" s="24" t="str"/>
    </x:row>
    <x:row r="26">
      <x:c r="A26" s="24" t="str">
        <x:v>売上合計</x:v>
      </x:c>
      <x:c r="B26" s="24" t="str"/>
      <x:c r="C26" s="24" t="str">
        <x:v>2,410,000</x:v>
      </x:c>
      <x:c r="D26" s="24" t="str"/>
    </x:row>
    <x:row r="27">
      <x:c r="A27" s="24" t="str">
        <x:v>実績件数</x:v>
      </x:c>
      <x:c r="B27" s="24" t="str"/>
      <x:c r="C27" s="24" t="str">
        <x:v>18</x:v>
      </x:c>
      <x:c r="D27" s="24" t="str"/>
    </x:row>
    <x:row r="28">
      <x:c r="A28" s="24" t="str">
        <x:v>完了件数</x:v>
      </x:c>
      <x:c r="B28" s="24" t="str"/>
      <x:c r="C28" s="24" t="str">
        <x:v>13</x:v>
      </x:c>
      <x:c r="D28" s="24" t="str"/>
    </x:row>
    <x:row r="29">
      <x:c r="A29" s="24" t="str">
        <x:v>最終更新日</x:v>
      </x:c>
      <x:c r="B29" s="24" t="str"/>
      <x:c r="C29" s="24" t="str">
        <x:v>作業日</x:v>
      </x:c>
      <x:c r="D29" s="24" t="str"/>
    </x:row>
    <x:row r="30">
      <x:c r="A30" s="24" t="str">
        <x:v>追加練習の実施</x:v>
      </x:c>
      <x:c r="B30" s="24" t="str"/>
      <x:c r="C30" s="24" t="str">
        <x:v>未実施でも可</x:v>
      </x:c>
      <x:c r="D30" s="24" t="str"/>
    </x:row>
    <x:row r="31">
      <x:c r="A31" s="24" t="str">
        <x:v>未解決の質問</x:v>
      </x:c>
      <x:c r="B31" s="24" t="str"/>
      <x:c r="C31" s="24" t="str">
        <x:v>なし／内容を記載</x:v>
      </x:c>
      <x:c r="D31" s="24" t="str"/>
    </x:row>
    <x:row r="32">
      <x:c r="A32" s="24" t="str">
        <x:v>第四章の完成判定</x:v>
      </x:c>
      <x:c r="B32" s="24" t="str">
        <x:v>要確認</x:v>
      </x:c>
      <x:c r="C32" s="24" t="str">
        <x:v>完成</x:v>
      </x:c>
      <x:c r="D32" s="24" t="str"/>
    </x:row>
  </x:sheetData>
  <x:mergeCells>
    <x:mergeCell ref="A1:D2"/>
  </x:mergeCells>
  <x:dataValidations count="3">
    <x:dataValidation type="list" sqref="B12">
      <x:formula1>"パソコン版,Web版"</x:formula1>
    </x:dataValidation>
    <x:dataValidation type="list" sqref="B14:B18">
      <x:formula1>"未確認,OK,要確認"</x:formula1>
    </x:dataValidation>
    <x:dataValidation type="list" sqref="B32">
      <x:formula1>"完成,要確認"</x:formula1>
    </x:dataValidation>
  </x:dataValidations>
  <x:pageMargins left="0.7" right="0.7" top="0.75" bottom="0.75" header="0.3" footer="0.3"/>
</x:worksheet>
</file>