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b649106ca4c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い方" sheetId="1" r:id="R7e3adf7827ef46ac"/>
    <x:sheet xmlns:r="http://schemas.openxmlformats.org/officeDocument/2006/relationships" name="01_実績入力" sheetId="2" r:id="R60f31b142a594965"/>
    <x:sheet xmlns:r="http://schemas.openxmlformats.org/officeDocument/2006/relationships" name="02_担当者マスタ" sheetId="3" r:id="R98ddb2702a65449d"/>
    <x:sheet xmlns:r="http://schemas.openxmlformats.org/officeDocument/2006/relationships" name="03_案件マスタ" sheetId="4" r:id="R043d4a9413074e31"/>
    <x:sheet xmlns:r="http://schemas.openxmlformats.org/officeDocument/2006/relationships" name="04_作業区分マスタ" sheetId="5" r:id="Rc0a5fe224c634605"/>
    <x:sheet xmlns:r="http://schemas.openxmlformats.org/officeDocument/2006/relationships" name="05_集計" sheetId="6" r:id="R316fbb287f2b4a77"/>
    <x:sheet xmlns:r="http://schemas.openxmlformats.org/officeDocument/2006/relationships" name="06_完成確認" sheetId="7" r:id="R0b1f0c62ad6f4036"/>
    <x:sheet xmlns:r="http://schemas.openxmlformats.org/officeDocument/2006/relationships" name="07_振り返り" sheetId="8" r:id="R652a5e58474046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0.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E2A36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D5966"/>
      </x:patternFill>
    </x:fill>
    <x:fill>
      <x:patternFill patternType="solid">
        <x:fgColor rgb="FF3B7482"/>
      </x:patternFill>
    </x:fill>
    <x:fill>
      <x:patternFill patternType="solid">
        <x:fgColor rgb="FFFFF3CD"/>
      </x:patternFill>
    </x:fill>
    <x:fill>
      <x:patternFill patternType="solid">
        <x:fgColor rgb="FFFFFFFF"/>
      </x:patternFill>
    </x:fill>
    <x:fill>
      <x:patternFill patternType="solid">
        <x:fgColor rgb="FFE8F3EE"/>
      </x:patternFill>
    </x:fill>
    <x:fill>
      <x:patternFill patternType="solid">
        <x:fgColor rgb="FFF3EAF8"/>
      </x:patternFill>
    </x:fill>
    <x:fill>
      <x:patternFill patternType="solid">
        <x:fgColor rgb="FFEAF3F6"/>
      </x:patternFill>
    </x:fill>
    <x:fill>
      <x:patternFill patternType="solid">
        <x:fgColor rgb="FFE8F5E9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vertical="top" wrapText="1"/>
    </x:xf>
    <x:xf numFmtId="200" fontId="3" fillId="4" borderId="1" xfId="0" applyNumberFormat="1" applyFont="1" applyFill="1" applyBorder="1" applyAlignment="1">
      <x:alignment vertical="top" wrapText="1"/>
    </x:xf>
    <x:xf numFmtId="201" fontId="3" fillId="4" borderId="0" xfId="0" applyNumberFormat="1" applyFont="1" applyFill="1" applyBorder="1" applyAlignment="1">
      <x:alignment vertical="top" wrapText="1"/>
    </x:xf>
    <x:xf numFmtId="201" fontId="3" fillId="4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vertical="top" wrapText="1"/>
    </x:xf>
    <x:xf numFmtId="201" fontId="3" fillId="6" borderId="0" xfId="0" applyNumberFormat="1" applyFont="1" applyFill="1" applyBorder="1" applyAlignment="1">
      <x:alignment vertical="top" wrapText="1"/>
    </x:xf>
    <x:xf numFmtId="201" fontId="3" fillId="6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171b1bad8439d" /><Relationship Type="http://schemas.openxmlformats.org/officeDocument/2006/relationships/theme" Target="/xl/theme/theme1.xml" Id="Rc859a350a364497b" /><Relationship Type="http://schemas.openxmlformats.org/officeDocument/2006/relationships/sharedStrings" Target="/xl/sharedStrings.xml" Id="R08293ccbe95e44c8" /><Relationship Type="http://schemas.openxmlformats.org/officeDocument/2006/relationships/worksheet" Target="/xl/worksheets/sheet1.xml" Id="R7e3adf7827ef46ac" /><Relationship Type="http://schemas.openxmlformats.org/officeDocument/2006/relationships/worksheet" Target="/xl/worksheets/sheet2.xml" Id="R60f31b142a594965" /><Relationship Type="http://schemas.openxmlformats.org/officeDocument/2006/relationships/worksheet" Target="/xl/worksheets/sheet3.xml" Id="R98ddb2702a65449d" /><Relationship Type="http://schemas.openxmlformats.org/officeDocument/2006/relationships/worksheet" Target="/xl/worksheets/sheet4.xml" Id="R043d4a9413074e31" /><Relationship Type="http://schemas.openxmlformats.org/officeDocument/2006/relationships/worksheet" Target="/xl/worksheets/sheet5.xml" Id="Rc0a5fe224c634605" /><Relationship Type="http://schemas.openxmlformats.org/officeDocument/2006/relationships/worksheet" Target="/xl/worksheets/sheet6.xml" Id="R316fbb287f2b4a77" /><Relationship Type="http://schemas.openxmlformats.org/officeDocument/2006/relationships/worksheet" Target="/xl/worksheets/sheet7.xml" Id="R0b1f0c62ad6f4036" /><Relationship Type="http://schemas.openxmlformats.org/officeDocument/2006/relationships/worksheet" Target="/xl/worksheets/sheet8.xml" Id="R652a5e58474046e3" /></Relationships>
</file>

<file path=xl/tables/table1.xml><?xml version="1.0" encoding="utf-8"?>
<x:table xmlns:x="http://schemas.openxmlformats.org/spreadsheetml/2006/main" id="1" name="実績テーブル" displayName="実績テーブル" ref="A3:L11" headerRowCount="1">
  <x:tableColumns count="12">
    <x:tableColumn id="1" name="実績日&#10;必須・入力"/>
    <x:tableColumn id="2" name="担当者コード&#10;必須・入力"/>
    <x:tableColumn id="3" name="担当者名&#10;自動・変更禁止"/>
    <x:tableColumn id="4" name="所属部署&#10;自動・変更禁止"/>
    <x:tableColumn id="5" name="案件コード&#10;必須・入力"/>
    <x:tableColumn id="6" name="案件名&#10;自動・変更禁止"/>
    <x:tableColumn id="7" name="作業区分コード&#10;必須・入力"/>
    <x:tableColumn id="8" name="作業区分名&#10;自動・変更禁止"/>
    <x:tableColumn id="9" name="作業時間&#10;必須・入力"/>
    <x:tableColumn id="10" name="ステータス&#10;必須・入力"/>
    <x:tableColumn id="11" name="備考&#10;任意・入力"/>
    <x:tableColumn id="12" name="入力確認&#10;自動・変更禁止"/>
  </x:tableColumns>
  <x:tableStyleInfo name="TableStyleMedium2" showRowStripes="1"/>
</x:table>
</file>

<file path=xl/tables/table2.xml><?xml version="1.0" encoding="utf-8"?>
<x:table xmlns:x="http://schemas.openxmlformats.org/spreadsheetml/2006/main" id="2" name="担当者マスタ" displayName="担当者マスタ" ref="A3:C6" headerRowCount="1">
  <x:tableColumns count="3">
    <x:tableColumn id="1" name="担当者コード"/>
    <x:tableColumn id="2" name="担当者名"/>
    <x:tableColumn id="3" name="所属部署"/>
  </x:tableColumns>
  <x:tableStyleInfo name="TableStyleMedium2" showRowStripes="1"/>
</x:table>
</file>

<file path=xl/tables/table3.xml><?xml version="1.0" encoding="utf-8"?>
<x:table xmlns:x="http://schemas.openxmlformats.org/spreadsheetml/2006/main" id="3" name="案件マスタ" displayName="案件マスタ" ref="A3:C6" headerRowCount="1">
  <x:tableColumns count="3">
    <x:tableColumn id="1" name="案件コード"/>
    <x:tableColumn id="2" name="案件名"/>
    <x:tableColumn id="3" name="担当部署"/>
  </x:tableColumns>
  <x:tableStyleInfo name="TableStyleMedium2" showRowStripes="1"/>
</x:table>
</file>

<file path=xl/tables/table4.xml><?xml version="1.0" encoding="utf-8"?>
<x:table xmlns:x="http://schemas.openxmlformats.org/spreadsheetml/2006/main" id="4" name="作業区分マスタ" displayName="作業区分マスタ" ref="A3:C6" headerRowCount="1">
  <x:tableColumns count="3">
    <x:tableColumn id="1" name="作業区分コード"/>
    <x:tableColumn id="2" name="作業区分名"/>
    <x:tableColumn id="3" name="作業分類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3abe4d5acd4e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6677e2ade14f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e368c283da4f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1c273db717471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26" hidden="0" customWidth="1"/>
    <x:col min="4" max="4" width="30" hidden="0" customWidth="1"/>
    <x:col min="5" max="5" width="30" hidden="0" customWidth="1"/>
    <x:col min="6" max="6" width="13" hidden="0" customWidth="1"/>
  </x:cols>
  <x:sheetData>
    <x:row r="1" ht="32" customHeight="1">
      <x:c r="A1" s="6" t="str">
        <x:v>月次作業実績管理ファイル　使い方</x:v>
      </x:c>
      <x:c r="B1" s="6"/>
      <x:c r="C1" s="6"/>
      <x:c r="D1" s="6"/>
      <x:c r="E1" s="6"/>
      <x:c r="F1" s="6"/>
    </x:row>
    <x:row r="2" ht="32" customHeight="1">
      <x:c r="A2" s="6"/>
      <x:c r="B2" s="6"/>
      <x:c r="C2" s="6"/>
      <x:c r="D2" s="6"/>
      <x:c r="E2" s="6"/>
      <x:c r="F2" s="6"/>
    </x:row>
    <x:row r="4">
      <x:c r="A4" s="16" t="str">
        <x:v>基本情報</x:v>
      </x:c>
      <x:c r="B4" s="16" t="str">
        <x:v>入力・確認</x:v>
      </x:c>
    </x:row>
    <x:row r="5">
      <x:c r="A5" s="24" t="str">
        <x:v>ファイルの目的</x:v>
      </x:c>
      <x:c r="B5" s="24" t="str">
        <x:v>月次作業実績を1つの表へ記録し、担当者別・案件別・ステータス別に確認する</x:v>
      </x:c>
    </x:row>
    <x:row r="6">
      <x:c r="A6" s="24" t="str">
        <x:v>受講者名</x:v>
      </x:c>
      <x:c r="B6" s="28" t="str"/>
    </x:row>
    <x:row r="7">
      <x:c r="A7" s="24" t="str">
        <x:v>使用環境</x:v>
      </x:c>
      <x:c r="B7" s="28" t="str"/>
    </x:row>
    <x:row r="8">
      <x:c r="A8" s="24" t="str">
        <x:v>保存先</x:v>
      </x:c>
      <x:c r="B8" s="28" t="str"/>
    </x:row>
    <x:row r="9">
      <x:c r="A9" s="24" t="str">
        <x:v>問い合わせ先</x:v>
      </x:c>
      <x:c r="B9" s="24" t="str">
        <x:v>教材演習担当</x:v>
      </x:c>
    </x:row>
    <x:row r="10">
      <x:c r="A10" s="24" t="str">
        <x:v>提出ファイル名</x:v>
      </x:c>
      <x:c r="B10" s="24" t="str">
        <x:v>受講者名_07_月次作業実績管理.xlsx</x:v>
      </x:c>
    </x:row>
    <x:row r="12">
      <x:c r="A12" s="16" t="str">
        <x:v>順番</x:v>
      </x:c>
      <x:c r="B12" s="16" t="str">
        <x:v>操作</x:v>
      </x:c>
      <x:c r="C12" s="16" t="str">
        <x:v>使用シート</x:v>
      </x:c>
      <x:c r="D12" s="16" t="str">
        <x:v>変更してよい</x:v>
      </x:c>
      <x:c r="E12" s="16" t="str">
        <x:v>変更しない</x:v>
      </x:c>
      <x:c r="F12" s="16" t="str">
        <x:v>確認</x:v>
      </x:c>
    </x:row>
    <x:row r="13">
      <x:c r="A13" s="24" t="n">
        <x:v>1</x:v>
      </x:c>
      <x:c r="B13" s="24" t="str">
        <x:v>使い方と基本情報を確認</x:v>
      </x:c>
      <x:c r="C13" s="24" t="str">
        <x:v>00_使い方</x:v>
      </x:c>
      <x:c r="D13" s="24" t="str">
        <x:v>受講者名・環境・保存先</x:v>
      </x:c>
      <x:c r="E13" s="24" t="str">
        <x:v>見出し構成</x:v>
      </x:c>
      <x:c r="F13" s="24" t="str">
        <x:v>未確認</x:v>
      </x:c>
    </x:row>
    <x:row r="14">
      <x:c r="A14" s="24" t="n">
        <x:v>2</x:v>
      </x:c>
      <x:c r="B14" s="24" t="str">
        <x:v>標準8件と入力区分を確認</x:v>
      </x:c>
      <x:c r="C14" s="24" t="str">
        <x:v>01_実績入力</x:v>
      </x:c>
      <x:c r="D14" s="24" t="str">
        <x:v>指定テストセルのみ</x:v>
      </x:c>
      <x:c r="E14" s="24" t="str">
        <x:v>自動表示列・数式</x:v>
      </x:c>
      <x:c r="F14" s="24" t="str">
        <x:v>未確認</x:v>
      </x:c>
    </x:row>
    <x:row r="15">
      <x:c r="A15" s="24" t="n">
        <x:v>3</x:v>
      </x:c>
      <x:c r="B15" s="24" t="str">
        <x:v>3つのマスタを確認</x:v>
      </x:c>
      <x:c r="C15" s="24" t="str">
        <x:v>02～04_マスタ</x:v>
      </x:c>
      <x:c r="D15" s="24" t="str">
        <x:v>原則なし</x:v>
      </x:c>
      <x:c r="E15" s="24" t="str">
        <x:v>コード・テーブル名</x:v>
      </x:c>
      <x:c r="F15" s="24" t="str">
        <x:v>未確認</x:v>
      </x:c>
    </x:row>
    <x:row r="16">
      <x:c r="A16" s="24" t="n">
        <x:v>4</x:v>
      </x:c>
      <x:c r="B16" s="24" t="str">
        <x:v>標準集計値を確認</x:v>
      </x:c>
      <x:c r="C16" s="24" t="str">
        <x:v>05_集計</x:v>
      </x:c>
      <x:c r="D16" s="24" t="str">
        <x:v>原則なし</x:v>
      </x:c>
      <x:c r="E16" s="24" t="str">
        <x:v>集計数式</x:v>
      </x:c>
      <x:c r="F16" s="24" t="str">
        <x:v>未確認</x:v>
      </x:c>
    </x:row>
    <x:row r="17">
      <x:c r="A17" s="24" t="n">
        <x:v>5</x:v>
      </x:c>
      <x:c r="B17" s="24" t="str">
        <x:v>空欄・未登録をテスト</x:v>
      </x:c>
      <x:c r="C17" s="24" t="str">
        <x:v>01_実績入力</x:v>
      </x:c>
      <x:c r="D17" s="24" t="str">
        <x:v>8件目の指定セルのみ</x:v>
      </x:c>
      <x:c r="E17" s="24" t="str">
        <x:v>ほかの行・数式</x:v>
      </x:c>
      <x:c r="F17" s="24" t="str">
        <x:v>未確認</x:v>
      </x:c>
    </x:row>
    <x:row r="18">
      <x:c r="A18" s="24" t="n">
        <x:v>6</x:v>
      </x:c>
      <x:c r="B18" s="24" t="str">
        <x:v>元へ戻して保存・再オープン</x:v>
      </x:c>
      <x:c r="C18" s="24" t="str">
        <x:v>全体</x:v>
      </x:c>
      <x:c r="D18" s="24" t="str">
        <x:v>記録欄</x:v>
      </x:c>
      <x:c r="E18" s="24" t="str">
        <x:v>標準8件</x:v>
      </x:c>
      <x:c r="F18" s="24" t="str">
        <x:v>未確認</x:v>
      </x:c>
    </x:row>
    <x:row r="20">
      <x:c r="A20" s="16" t="str">
        <x:v>区分</x:v>
      </x:c>
      <x:c r="B20" s="16" t="str">
        <x:v>対象列</x:v>
      </x:c>
      <x:c r="C20" s="16" t="str">
        <x:v>利用者の操作</x:v>
      </x:c>
      <x:c r="D20" s="16" t="str">
        <x:v>表示</x:v>
      </x:c>
    </x:row>
    <x:row r="21">
      <x:c r="A21" s="24" t="str">
        <x:v>必須・入力</x:v>
      </x:c>
      <x:c r="B21" s="24" t="str">
        <x:v>実績日、担当者コード、案件コード、作業区分コード、作業時間、ステータス</x:v>
      </x:c>
      <x:c r="C21" s="24" t="str">
        <x:v>入力する</x:v>
      </x:c>
      <x:c r="D21" s="24" t="str">
        <x:v>淡い黄色</x:v>
      </x:c>
    </x:row>
    <x:row r="22">
      <x:c r="A22" s="24" t="str">
        <x:v>任意・入力</x:v>
      </x:c>
      <x:c r="B22" s="24" t="str">
        <x:v>備考</x:v>
      </x:c>
      <x:c r="C22" s="24" t="str">
        <x:v>必要な場合だけ入力</x:v>
      </x:c>
      <x:c r="D22" s="24" t="str">
        <x:v>白</x:v>
      </x:c>
    </x:row>
    <x:row r="23">
      <x:c r="A23" s="24" t="str">
        <x:v>自動・変更禁止</x:v>
      </x:c>
      <x:c r="B23" s="24" t="str">
        <x:v>担当者名、所属部署、案件名、作業区分名、入力確認</x:v>
      </x:c>
      <x:c r="C23" s="24" t="str">
        <x:v>直接入力しない</x:v>
      </x:c>
      <x:c r="D23" s="24" t="str">
        <x:v>淡い緑・紫</x:v>
      </x:c>
    </x:row>
    <x:row r="25">
      <x:c r="A25" s="16" t="str">
        <x:v>状態</x:v>
      </x:c>
      <x:c r="B25" s="16" t="str">
        <x:v>最初に確認</x:v>
      </x:c>
      <x:c r="C25" s="16" t="str">
        <x:v>対応</x:v>
      </x:c>
      <x:c r="D25" s="16" t="str">
        <x:v>提出前</x:v>
      </x:c>
    </x:row>
    <x:row r="26">
      <x:c r="A26" s="24" t="str">
        <x:v>未登録</x:v>
      </x:c>
      <x:c r="B26" s="24" t="str">
        <x:v>担当者コード・対象マスタ</x:v>
      </x:c>
      <x:c r="C26" s="24" t="str">
        <x:v>正しいコードへ戻す</x:v>
      </x:c>
      <x:c r="D26" s="24" t="str">
        <x:v>残さない</x:v>
      </x:c>
    </x:row>
    <x:row r="27">
      <x:c r="A27" s="24" t="str">
        <x:v>要確認</x:v>
      </x:c>
      <x:c r="B27" s="24" t="str">
        <x:v>必須項目の空欄・未登録</x:v>
      </x:c>
      <x:c r="C27" s="24" t="str">
        <x:v>入力値を修正する</x:v>
      </x:c>
      <x:c r="D27" s="24" t="str">
        <x:v>8件すべてOK</x:v>
      </x:c>
    </x:row>
    <x:row r="28">
      <x:c r="A28" s="24" t="str">
        <x:v>集計値が違う</x:v>
      </x:c>
      <x:c r="B28" s="24" t="str">
        <x:v>テスト値・フィルター</x:v>
      </x:c>
      <x:c r="C28" s="24" t="str">
        <x:v>元の値へ戻して再確認</x:v>
      </x:c>
      <x:c r="D28" s="24" t="str">
        <x:v>標準値へ戻す</x:v>
      </x:c>
    </x:row>
  </x:sheetData>
  <x:mergeCells>
    <x:mergeCell ref="A1:F2"/>
  </x:mergeCells>
  <x:dataValidations count="2">
    <x:dataValidation type="list" sqref="B7">
      <x:formula1>"パソコン版,Web版"</x:formula1>
    </x:dataValidation>
    <x:dataValidation type="list" sqref="F13:F18">
      <x:formula1>"未確認,OK,要確認"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9" hidden="0" customWidth="1"/>
    <x:col min="9" max="9" width="16" hidden="0" customWidth="1"/>
    <x:col min="10" max="10" width="18" hidden="0" customWidth="1"/>
    <x:col min="11" max="11" width="24" hidden="0" customWidth="1"/>
    <x:col min="12" max="12" width="18" hidden="0" customWidth="1"/>
  </x:cols>
  <x:sheetData>
    <x:row r="1" ht="32" customHeight="1">
      <x:c r="A1" s="6" t="str">
        <x:v>実績入力　黄色・白の列だけ入力します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2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6" t="str">
        <x:v>実績日
必須・入力</x:v>
      </x:c>
      <x:c r="B3" s="16" t="str">
        <x:v>担当者コード
必須・入力</x:v>
      </x:c>
      <x:c r="C3" s="16" t="str">
        <x:v>担当者名
自動・変更禁止</x:v>
      </x:c>
      <x:c r="D3" s="16" t="str">
        <x:v>所属部署
自動・変更禁止</x:v>
      </x:c>
      <x:c r="E3" s="16" t="str">
        <x:v>案件コード
必須・入力</x:v>
      </x:c>
      <x:c r="F3" s="16" t="str">
        <x:v>案件名
自動・変更禁止</x:v>
      </x:c>
      <x:c r="G3" s="16" t="str">
        <x:v>作業区分コード
必須・入力</x:v>
      </x:c>
      <x:c r="H3" s="16" t="str">
        <x:v>作業区分名
自動・変更禁止</x:v>
      </x:c>
      <x:c r="I3" s="16" t="str">
        <x:v>作業時間
必須・入力</x:v>
      </x:c>
      <x:c r="J3" s="16" t="str">
        <x:v>ステータス
必須・入力</x:v>
      </x:c>
      <x:c r="K3" s="16" t="str">
        <x:v>備考
任意・入力</x:v>
      </x:c>
      <x:c r="L3" s="16" t="str">
        <x:v>入力確認
自動・変更禁止</x:v>
      </x:c>
    </x:row>
    <x:row r="4">
      <x:c r="A4" s="36" t="n">
        <x:v>46204</x:v>
      </x:c>
      <x:c r="B4" s="28" t="str">
        <x:v>E001</x:v>
      </x:c>
      <x:c r="C4" s="32" t="str">
        <x:f>XLOOKUP(B4,'02_担当者マスタ'!$A$4:$A$6,'02_担当者マスタ'!$B$4:$B$6,"未登録")</x:f>
        <x:v>佐藤太郎</x:v>
      </x:c>
      <x:c r="D4" s="32" t="str">
        <x:f>XLOOKUP(B4,'02_担当者マスタ'!$A$4:$A$6,'02_担当者マスタ'!$C$4:$C$6,"未登録")</x:f>
        <x:v>技術部</x:v>
      </x:c>
      <x:c r="E4" s="28" t="str">
        <x:v>P001</x:v>
      </x:c>
      <x:c r="F4" s="32" t="str">
        <x:f>XLOOKUP(E4,'03_案件マスタ'!$A$4:$A$6,'03_案件マスタ'!$B$4:$B$6,"未登録")</x:f>
        <x:v>A案件</x:v>
      </x:c>
      <x:c r="G4" s="28" t="str">
        <x:v>W001</x:v>
      </x:c>
      <x:c r="H4" s="32" t="str">
        <x:f>XLOOKUP(G4,'04_作業区分マスタ'!$A$4:$A$6,'04_作業区分マスタ'!$B$4:$B$6,"未登録")</x:f>
        <x:v>資料作成</x:v>
      </x:c>
      <x:c r="I4" s="38" t="n">
        <x:v>2</x:v>
      </x:c>
      <x:c r="J4" s="28" t="str">
        <x:v>完了</x:v>
      </x:c>
      <x:c r="K4" s="30" t="str"/>
      <x:c r="L4" s="34" t="str">
        <x:f>IF(OR(A4="",B4="",C4="未登録",E4="",F4="未登録",G4="",H4="未登録",I4="",J4=""),"要確認","OK")</x:f>
        <x:v>OK</x:v>
      </x:c>
    </x:row>
    <x:row r="5">
      <x:c r="A5" s="36" t="n">
        <x:v>46204</x:v>
      </x:c>
      <x:c r="B5" s="28" t="str">
        <x:v>E001</x:v>
      </x:c>
      <x:c r="C5" s="32" t="str">
        <x:f>XLOOKUP(B5,'02_担当者マスタ'!$A$4:$A$6,'02_担当者マスタ'!$B$4:$B$6,"未登録")</x:f>
        <x:v>佐藤太郎</x:v>
      </x:c>
      <x:c r="D5" s="32" t="str">
        <x:f>XLOOKUP(B5,'02_担当者マスタ'!$A$4:$A$6,'02_担当者マスタ'!$C$4:$C$6,"未登録")</x:f>
        <x:v>技術部</x:v>
      </x:c>
      <x:c r="E5" s="28" t="str">
        <x:v>P002</x:v>
      </x:c>
      <x:c r="F5" s="32" t="str">
        <x:f>XLOOKUP(E5,'03_案件マスタ'!$A$4:$A$6,'03_案件マスタ'!$B$4:$B$6,"未登録")</x:f>
        <x:v>B案件</x:v>
      </x:c>
      <x:c r="G5" s="28" t="str">
        <x:v>W002</x:v>
      </x:c>
      <x:c r="H5" s="32" t="str">
        <x:f>XLOOKUP(G5,'04_作業区分マスタ'!$A$4:$A$6,'04_作業区分マスタ'!$B$4:$B$6,"未登録")</x:f>
        <x:v>確認</x:v>
      </x:c>
      <x:c r="I5" s="38" t="n">
        <x:v>1</x:v>
      </x:c>
      <x:c r="J5" s="28" t="str">
        <x:v>完了</x:v>
      </x:c>
      <x:c r="K5" s="30" t="str"/>
      <x:c r="L5" s="34" t="str">
        <x:f>IF(OR(A5="",B5="",C5="未登録",E5="",F5="未登録",G5="",H5="未登録",I5="",J5=""),"要確認","OK")</x:f>
        <x:v>OK</x:v>
      </x:c>
    </x:row>
    <x:row r="6">
      <x:c r="A6" s="36" t="n">
        <x:v>46205</x:v>
      </x:c>
      <x:c r="B6" s="28" t="str">
        <x:v>E002</x:v>
      </x:c>
      <x:c r="C6" s="32" t="str">
        <x:f>XLOOKUP(B6,'02_担当者マスタ'!$A$4:$A$6,'02_担当者マスタ'!$B$4:$B$6,"未登録")</x:f>
        <x:v>鈴木花子</x:v>
      </x:c>
      <x:c r="D6" s="32" t="str">
        <x:f>XLOOKUP(B6,'02_担当者マスタ'!$A$4:$A$6,'02_担当者マスタ'!$C$4:$C$6,"未登録")</x:f>
        <x:v>営業部</x:v>
      </x:c>
      <x:c r="E6" s="28" t="str">
        <x:v>P001</x:v>
      </x:c>
      <x:c r="F6" s="32" t="str">
        <x:f>XLOOKUP(E6,'03_案件マスタ'!$A$4:$A$6,'03_案件マスタ'!$B$4:$B$6,"未登録")</x:f>
        <x:v>A案件</x:v>
      </x:c>
      <x:c r="G6" s="28" t="str">
        <x:v>W003</x:v>
      </x:c>
      <x:c r="H6" s="32" t="str">
        <x:f>XLOOKUP(G6,'04_作業区分マスタ'!$A$4:$A$6,'04_作業区分マスタ'!$B$4:$B$6,"未登録")</x:f>
        <x:v>打合せ</x:v>
      </x:c>
      <x:c r="I6" s="38" t="n">
        <x:v>1.5</x:v>
      </x:c>
      <x:c r="J6" s="28" t="str">
        <x:v>完了</x:v>
      </x:c>
      <x:c r="K6" s="30" t="str"/>
      <x:c r="L6" s="34" t="str">
        <x:f>IF(OR(A6="",B6="",C6="未登録",E6="",F6="未登録",G6="",H6="未登録",I6="",J6=""),"要確認","OK")</x:f>
        <x:v>OK</x:v>
      </x:c>
    </x:row>
    <x:row r="7">
      <x:c r="A7" s="36" t="n">
        <x:v>46205</x:v>
      </x:c>
      <x:c r="B7" s="28" t="str">
        <x:v>E002</x:v>
      </x:c>
      <x:c r="C7" s="32" t="str">
        <x:f>XLOOKUP(B7,'02_担当者マスタ'!$A$4:$A$6,'02_担当者マスタ'!$B$4:$B$6,"未登録")</x:f>
        <x:v>鈴木花子</x:v>
      </x:c>
      <x:c r="D7" s="32" t="str">
        <x:f>XLOOKUP(B7,'02_担当者マスタ'!$A$4:$A$6,'02_担当者マスタ'!$C$4:$C$6,"未登録")</x:f>
        <x:v>営業部</x:v>
      </x:c>
      <x:c r="E7" s="28" t="str">
        <x:v>P003</x:v>
      </x:c>
      <x:c r="F7" s="32" t="str">
        <x:f>XLOOKUP(E7,'03_案件マスタ'!$A$4:$A$6,'03_案件マスタ'!$B$4:$B$6,"未登録")</x:f>
        <x:v>C案件</x:v>
      </x:c>
      <x:c r="G7" s="28" t="str">
        <x:v>W001</x:v>
      </x:c>
      <x:c r="H7" s="32" t="str">
        <x:f>XLOOKUP(G7,'04_作業区分マスタ'!$A$4:$A$6,'04_作業区分マスタ'!$B$4:$B$6,"未登録")</x:f>
        <x:v>資料作成</x:v>
      </x:c>
      <x:c r="I7" s="38" t="n">
        <x:v>2</x:v>
      </x:c>
      <x:c r="J7" s="28" t="str">
        <x:v>完了</x:v>
      </x:c>
      <x:c r="K7" s="30" t="str"/>
      <x:c r="L7" s="34" t="str">
        <x:f>IF(OR(A7="",B7="",C7="未登録",E7="",F7="未登録",G7="",H7="未登録",I7="",J7=""),"要確認","OK")</x:f>
        <x:v>OK</x:v>
      </x:c>
    </x:row>
    <x:row r="8">
      <x:c r="A8" s="36" t="n">
        <x:v>46206</x:v>
      </x:c>
      <x:c r="B8" s="28" t="str">
        <x:v>E001</x:v>
      </x:c>
      <x:c r="C8" s="32" t="str">
        <x:f>XLOOKUP(B8,'02_担当者マスタ'!$A$4:$A$6,'02_担当者マスタ'!$B$4:$B$6,"未登録")</x:f>
        <x:v>佐藤太郎</x:v>
      </x:c>
      <x:c r="D8" s="32" t="str">
        <x:f>XLOOKUP(B8,'02_担当者マスタ'!$A$4:$A$6,'02_担当者マスタ'!$C$4:$C$6,"未登録")</x:f>
        <x:v>技術部</x:v>
      </x:c>
      <x:c r="E8" s="28" t="str">
        <x:v>P002</x:v>
      </x:c>
      <x:c r="F8" s="32" t="str">
        <x:f>XLOOKUP(E8,'03_案件マスタ'!$A$4:$A$6,'03_案件マスタ'!$B$4:$B$6,"未登録")</x:f>
        <x:v>B案件</x:v>
      </x:c>
      <x:c r="G8" s="28" t="str">
        <x:v>W002</x:v>
      </x:c>
      <x:c r="H8" s="32" t="str">
        <x:f>XLOOKUP(G8,'04_作業区分マスタ'!$A$4:$A$6,'04_作業区分マスタ'!$B$4:$B$6,"未登録")</x:f>
        <x:v>確認</x:v>
      </x:c>
      <x:c r="I8" s="38" t="n">
        <x:v>0.5</x:v>
      </x:c>
      <x:c r="J8" s="28" t="str">
        <x:v>完了</x:v>
      </x:c>
      <x:c r="K8" s="30" t="str"/>
      <x:c r="L8" s="34" t="str">
        <x:f>IF(OR(A8="",B8="",C8="未登録",E8="",F8="未登録",G8="",H8="未登録",I8="",J8=""),"要確認","OK")</x:f>
        <x:v>OK</x:v>
      </x:c>
    </x:row>
    <x:row r="9">
      <x:c r="A9" s="36" t="n">
        <x:v>46207</x:v>
      </x:c>
      <x:c r="B9" s="28" t="str">
        <x:v>E003</x:v>
      </x:c>
      <x:c r="C9" s="32" t="str">
        <x:f>XLOOKUP(B9,'02_担当者マスタ'!$A$4:$A$6,'02_担当者マスタ'!$B$4:$B$6,"未登録")</x:f>
        <x:v>高橋健</x:v>
      </x:c>
      <x:c r="D9" s="32" t="str">
        <x:f>XLOOKUP(B9,'02_担当者マスタ'!$A$4:$A$6,'02_担当者マスタ'!$C$4:$C$6,"未登録")</x:f>
        <x:v>技術部</x:v>
      </x:c>
      <x:c r="E9" s="28" t="str">
        <x:v>P003</x:v>
      </x:c>
      <x:c r="F9" s="32" t="str">
        <x:f>XLOOKUP(E9,'03_案件マスタ'!$A$4:$A$6,'03_案件マスタ'!$B$4:$B$6,"未登録")</x:f>
        <x:v>C案件</x:v>
      </x:c>
      <x:c r="G9" s="28" t="str">
        <x:v>W003</x:v>
      </x:c>
      <x:c r="H9" s="32" t="str">
        <x:f>XLOOKUP(G9,'04_作業区分マスタ'!$A$4:$A$6,'04_作業区分マスタ'!$B$4:$B$6,"未登録")</x:f>
        <x:v>打合せ</x:v>
      </x:c>
      <x:c r="I9" s="38" t="n">
        <x:v>1</x:v>
      </x:c>
      <x:c r="J9" s="28" t="str">
        <x:v>進行中</x:v>
      </x:c>
      <x:c r="K9" s="30" t="str"/>
      <x:c r="L9" s="34" t="str">
        <x:f>IF(OR(A9="",B9="",C9="未登録",E9="",F9="未登録",G9="",H9="未登録",I9="",J9=""),"要確認","OK")</x:f>
        <x:v>OK</x:v>
      </x:c>
    </x:row>
    <x:row r="10">
      <x:c r="A10" s="36" t="n">
        <x:v>46207</x:v>
      </x:c>
      <x:c r="B10" s="28" t="str">
        <x:v>E003</x:v>
      </x:c>
      <x:c r="C10" s="32" t="str">
        <x:f>XLOOKUP(B10,'02_担当者マスタ'!$A$4:$A$6,'02_担当者マスタ'!$B$4:$B$6,"未登録")</x:f>
        <x:v>高橋健</x:v>
      </x:c>
      <x:c r="D10" s="32" t="str">
        <x:f>XLOOKUP(B10,'02_担当者マスタ'!$A$4:$A$6,'02_担当者マスタ'!$C$4:$C$6,"未登録")</x:f>
        <x:v>技術部</x:v>
      </x:c>
      <x:c r="E10" s="28" t="str">
        <x:v>P001</x:v>
      </x:c>
      <x:c r="F10" s="32" t="str">
        <x:f>XLOOKUP(E10,'03_案件マスタ'!$A$4:$A$6,'03_案件マスタ'!$B$4:$B$6,"未登録")</x:f>
        <x:v>A案件</x:v>
      </x:c>
      <x:c r="G10" s="28" t="str">
        <x:v>W002</x:v>
      </x:c>
      <x:c r="H10" s="32" t="str">
        <x:f>XLOOKUP(G10,'04_作業区分マスタ'!$A$4:$A$6,'04_作業区分マスタ'!$B$4:$B$6,"未登録")</x:f>
        <x:v>確認</x:v>
      </x:c>
      <x:c r="I10" s="38" t="n">
        <x:v>2</x:v>
      </x:c>
      <x:c r="J10" s="28" t="str">
        <x:v>進行中</x:v>
      </x:c>
      <x:c r="K10" s="30" t="str"/>
      <x:c r="L10" s="34" t="str">
        <x:f>IF(OR(A10="",B10="",C10="未登録",E10="",F10="未登録",G10="",H10="未登録",I10="",J10=""),"要確認","OK")</x:f>
        <x:v>OK</x:v>
      </x:c>
    </x:row>
    <x:row r="11">
      <x:c r="A11" s="36" t="n">
        <x:v>46208</x:v>
      </x:c>
      <x:c r="B11" s="28" t="str">
        <x:v>E002</x:v>
      </x:c>
      <x:c r="C11" s="32" t="str">
        <x:f>XLOOKUP(B11,'02_担当者マスタ'!$A$4:$A$6,'02_担当者マスタ'!$B$4:$B$6,"未登録")</x:f>
        <x:v>鈴木花子</x:v>
      </x:c>
      <x:c r="D11" s="32" t="str">
        <x:f>XLOOKUP(B11,'02_担当者マスタ'!$A$4:$A$6,'02_担当者マスタ'!$C$4:$C$6,"未登録")</x:f>
        <x:v>営業部</x:v>
      </x:c>
      <x:c r="E11" s="28" t="str">
        <x:v>P002</x:v>
      </x:c>
      <x:c r="F11" s="32" t="str">
        <x:f>XLOOKUP(E11,'03_案件マスタ'!$A$4:$A$6,'03_案件マスタ'!$B$4:$B$6,"未登録")</x:f>
        <x:v>B案件</x:v>
      </x:c>
      <x:c r="G11" s="28" t="str">
        <x:v>W001</x:v>
      </x:c>
      <x:c r="H11" s="32" t="str">
        <x:f>XLOOKUP(G11,'04_作業区分マスタ'!$A$4:$A$6,'04_作業区分マスタ'!$B$4:$B$6,"未登録")</x:f>
        <x:v>資料作成</x:v>
      </x:c>
      <x:c r="I11" s="38" t="n">
        <x:v>1.5</x:v>
      </x:c>
      <x:c r="J11" s="28" t="str">
        <x:v>完了</x:v>
      </x:c>
      <x:c r="K11" s="30" t="str">
        <x:v>総合演習確認</x:v>
      </x:c>
      <x:c r="L11" s="34" t="str">
        <x:f>IF(OR(A11="",B11="",C11="未登録",E11="",F11="未登録",G11="",H11="未登録",I11="",J11=""),"要確認","OK")</x:f>
        <x:v>OK</x:v>
      </x:c>
    </x:row>
  </x:sheetData>
  <x:mergeCells>
    <x:mergeCell ref="A1:L2"/>
  </x:mergeCells>
  <x:dataValidations count="5">
    <x:dataValidation type="list" sqref="B4:B11">
      <x:formula1>"E001,E002,E003,E999"</x:formula1>
    </x:dataValidation>
    <x:dataValidation type="list" sqref="E4:E11">
      <x:formula1>"P001,P002,P003"</x:formula1>
    </x:dataValidation>
    <x:dataValidation type="list" sqref="G4:G11">
      <x:formula1>"W001,W002,W003"</x:formula1>
    </x:dataValidation>
    <x:dataValidation type="decimal" operator="between" sqref="I4:I11">
      <x:formula1>0</x:formula1>
      <x:formula2>24</x:formula2>
    </x:dataValidation>
    <x:dataValidation type="list" sqref="J4:J11">
      <x:formula1>"未着手,進行中,完了"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3abe4d5acd4ed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4" hidden="0" customWidth="1"/>
    <x:col min="5" max="5" width="18" hidden="0" customWidth="1"/>
    <x:col min="6" max="6" width="22" hidden="0" customWidth="1"/>
  </x:cols>
  <x:sheetData>
    <x:row r="1" ht="32" customHeight="1">
      <x:c r="A1" s="6" t="str">
        <x:v>担当者マスタ</x:v>
      </x:c>
      <x:c r="B1" s="6"/>
      <x:c r="C1" s="6"/>
    </x:row>
    <x:row r="2" ht="32" customHeight="1">
      <x:c r="A2" s="6"/>
      <x:c r="B2" s="6"/>
      <x:c r="C2" s="6"/>
    </x:row>
    <x:row r="3">
      <x:c r="A3" s="16" t="str">
        <x:v>担当者コード</x:v>
      </x:c>
      <x:c r="B3" s="16" t="str">
        <x:v>担当者名</x:v>
      </x:c>
      <x:c r="C3" s="16" t="str">
        <x:v>所属部署</x:v>
      </x:c>
      <x:c r="E3" s="16" t="str">
        <x:v>確認項目</x:v>
      </x:c>
      <x:c r="F3" s="16" t="str">
        <x:v>結果</x:v>
      </x:c>
    </x:row>
    <x:row r="4">
      <x:c r="A4" s="24" t="str">
        <x:v>E001</x:v>
      </x:c>
      <x:c r="B4" s="24" t="str">
        <x:v>佐藤太郎</x:v>
      </x:c>
      <x:c r="C4" s="24" t="str">
        <x:v>技術部</x:v>
      </x:c>
      <x:c r="E4" s="43" t="str">
        <x:v>件数</x:v>
      </x:c>
      <x:c r="F4" s="43" t="n">
        <x:v>3</x:v>
      </x:c>
    </x:row>
    <x:row r="5">
      <x:c r="A5" s="24" t="str">
        <x:v>E002</x:v>
      </x:c>
      <x:c r="B5" s="24" t="str">
        <x:v>鈴木花子</x:v>
      </x:c>
      <x:c r="C5" s="24" t="str">
        <x:v>営業部</x:v>
      </x:c>
      <x:c r="E5" s="43" t="str">
        <x:v>コード空欄</x:v>
      </x:c>
      <x:c r="F5" s="43" t="str">
        <x:v>なし</x:v>
      </x:c>
    </x:row>
    <x:row r="6">
      <x:c r="A6" s="24" t="str">
        <x:v>E003</x:v>
      </x:c>
      <x:c r="B6" s="24" t="str">
        <x:v>高橋健</x:v>
      </x:c>
      <x:c r="C6" s="24" t="str">
        <x:v>技術部</x:v>
      </x:c>
      <x:c r="E6" s="43" t="str">
        <x:v>コード重複</x:v>
      </x:c>
      <x:c r="F6" s="43" t="str">
        <x:v>なし</x:v>
      </x:c>
    </x:row>
    <x:row r="7">
      <x:c r="E7" s="43" t="str">
        <x:v>変更担当</x:v>
      </x:c>
      <x:c r="F7" s="43" t="str">
        <x:v>教材演習担当</x:v>
      </x:c>
    </x:row>
  </x:sheetData>
  <x:mergeCells>
    <x:mergeCell ref="A1:C2"/>
  </x:mergeCells>
  <x:pageMargins left="0.7" right="0.7" top="0.75" bottom="0.75" header="0.3" footer="0.3"/>
  <x:tableParts count="1">
    <x:tablePart xmlns:r="http://schemas.openxmlformats.org/officeDocument/2006/relationships" r:id="Rd36677e2ade14f5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4" hidden="0" customWidth="1"/>
    <x:col min="5" max="5" width="18" hidden="0" customWidth="1"/>
    <x:col min="6" max="6" width="22" hidden="0" customWidth="1"/>
  </x:cols>
  <x:sheetData>
    <x:row r="1" ht="32" customHeight="1">
      <x:c r="A1" s="6" t="str">
        <x:v>案件マスタ</x:v>
      </x:c>
      <x:c r="B1" s="6"/>
      <x:c r="C1" s="6"/>
    </x:row>
    <x:row r="2" ht="32" customHeight="1">
      <x:c r="A2" s="6"/>
      <x:c r="B2" s="6"/>
      <x:c r="C2" s="6"/>
    </x:row>
    <x:row r="3">
      <x:c r="A3" s="16" t="str">
        <x:v>案件コード</x:v>
      </x:c>
      <x:c r="B3" s="16" t="str">
        <x:v>案件名</x:v>
      </x:c>
      <x:c r="C3" s="16" t="str">
        <x:v>担当部署</x:v>
      </x:c>
      <x:c r="E3" s="16" t="str">
        <x:v>確認項目</x:v>
      </x:c>
      <x:c r="F3" s="16" t="str">
        <x:v>結果</x:v>
      </x:c>
    </x:row>
    <x:row r="4">
      <x:c r="A4" s="24" t="str">
        <x:v>P001</x:v>
      </x:c>
      <x:c r="B4" s="24" t="str">
        <x:v>A案件</x:v>
      </x:c>
      <x:c r="C4" s="24" t="str">
        <x:v>技術部</x:v>
      </x:c>
      <x:c r="E4" s="43" t="str">
        <x:v>件数</x:v>
      </x:c>
      <x:c r="F4" s="43" t="n">
        <x:v>3</x:v>
      </x:c>
    </x:row>
    <x:row r="5">
      <x:c r="A5" s="24" t="str">
        <x:v>P002</x:v>
      </x:c>
      <x:c r="B5" s="24" t="str">
        <x:v>B案件</x:v>
      </x:c>
      <x:c r="C5" s="24" t="str">
        <x:v>営業部</x:v>
      </x:c>
      <x:c r="E5" s="43" t="str">
        <x:v>コード空欄</x:v>
      </x:c>
      <x:c r="F5" s="43" t="str">
        <x:v>なし</x:v>
      </x:c>
    </x:row>
    <x:row r="6">
      <x:c r="A6" s="24" t="str">
        <x:v>P003</x:v>
      </x:c>
      <x:c r="B6" s="24" t="str">
        <x:v>C案件</x:v>
      </x:c>
      <x:c r="C6" s="24" t="str">
        <x:v>技術部</x:v>
      </x:c>
      <x:c r="E6" s="43" t="str">
        <x:v>コード重複</x:v>
      </x:c>
      <x:c r="F6" s="43" t="str">
        <x:v>なし</x:v>
      </x:c>
    </x:row>
    <x:row r="7">
      <x:c r="E7" s="43" t="str">
        <x:v>変更担当</x:v>
      </x:c>
      <x:c r="F7" s="43" t="str">
        <x:v>教材演習担当</x:v>
      </x:c>
    </x:row>
  </x:sheetData>
  <x:mergeCells>
    <x:mergeCell ref="A1:C2"/>
  </x:mergeCells>
  <x:pageMargins left="0.7" right="0.7" top="0.75" bottom="0.75" header="0.3" footer="0.3"/>
  <x:tableParts count="1">
    <x:tablePart xmlns:r="http://schemas.openxmlformats.org/officeDocument/2006/relationships" r:id="R8ae368c283da4fe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4" hidden="0" customWidth="1"/>
    <x:col min="5" max="5" width="18" hidden="0" customWidth="1"/>
    <x:col min="6" max="6" width="22" hidden="0" customWidth="1"/>
  </x:cols>
  <x:sheetData>
    <x:row r="1" ht="32" customHeight="1">
      <x:c r="A1" s="6" t="str">
        <x:v>作業区分マスタ</x:v>
      </x:c>
      <x:c r="B1" s="6"/>
      <x:c r="C1" s="6"/>
    </x:row>
    <x:row r="2" ht="32" customHeight="1">
      <x:c r="A2" s="6"/>
      <x:c r="B2" s="6"/>
      <x:c r="C2" s="6"/>
    </x:row>
    <x:row r="3">
      <x:c r="A3" s="16" t="str">
        <x:v>作業区分コード</x:v>
      </x:c>
      <x:c r="B3" s="16" t="str">
        <x:v>作業区分名</x:v>
      </x:c>
      <x:c r="C3" s="16" t="str">
        <x:v>作業分類</x:v>
      </x:c>
      <x:c r="E3" s="16" t="str">
        <x:v>確認項目</x:v>
      </x:c>
      <x:c r="F3" s="16" t="str">
        <x:v>結果</x:v>
      </x:c>
    </x:row>
    <x:row r="4">
      <x:c r="A4" s="24" t="str">
        <x:v>W001</x:v>
      </x:c>
      <x:c r="B4" s="24" t="str">
        <x:v>資料作成</x:v>
      </x:c>
      <x:c r="C4" s="24" t="str">
        <x:v>制作</x:v>
      </x:c>
      <x:c r="E4" s="43" t="str">
        <x:v>件数</x:v>
      </x:c>
      <x:c r="F4" s="43" t="n">
        <x:v>3</x:v>
      </x:c>
    </x:row>
    <x:row r="5">
      <x:c r="A5" s="24" t="str">
        <x:v>W002</x:v>
      </x:c>
      <x:c r="B5" s="24" t="str">
        <x:v>確認</x:v>
      </x:c>
      <x:c r="C5" s="24" t="str">
        <x:v>品質管理</x:v>
      </x:c>
      <x:c r="E5" s="43" t="str">
        <x:v>コード空欄</x:v>
      </x:c>
      <x:c r="F5" s="43" t="str">
        <x:v>なし</x:v>
      </x:c>
    </x:row>
    <x:row r="6">
      <x:c r="A6" s="24" t="str">
        <x:v>W003</x:v>
      </x:c>
      <x:c r="B6" s="24" t="str">
        <x:v>打合せ</x:v>
      </x:c>
      <x:c r="C6" s="24" t="str">
        <x:v>調整</x:v>
      </x:c>
      <x:c r="E6" s="43" t="str">
        <x:v>コード重複</x:v>
      </x:c>
      <x:c r="F6" s="43" t="str">
        <x:v>なし</x:v>
      </x:c>
    </x:row>
    <x:row r="7">
      <x:c r="E7" s="43" t="str">
        <x:v>変更担当</x:v>
      </x:c>
      <x:c r="F7" s="43" t="str">
        <x:v>教材演習担当</x:v>
      </x:c>
    </x:row>
  </x:sheetData>
  <x:mergeCells>
    <x:mergeCell ref="A1:C2"/>
  </x:mergeCells>
  <x:pageMargins left="0.7" right="0.7" top="0.75" bottom="0.75" header="0.3" footer="0.3"/>
  <x:tableParts count="1">
    <x:tablePart xmlns:r="http://schemas.openxmlformats.org/officeDocument/2006/relationships" r:id="R941c273db717471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  <x:col min="8" max="8" width="14" hidden="0" customWidth="1"/>
    <x:col min="9" max="9" width="14" hidden="0" customWidth="1"/>
  </x:cols>
  <x:sheetData>
    <x:row r="1" ht="32" customHeight="1">
      <x:c r="A1" s="6" t="str">
        <x:v>標準集計値　期待値と一致することを確認します</x:v>
      </x:c>
      <x:c r="B1" s="6"/>
      <x:c r="C1" s="6"/>
      <x:c r="D1" s="6"/>
      <x:c r="E1" s="6"/>
      <x:c r="F1" s="6"/>
      <x:c r="G1" s="6"/>
      <x:c r="H1" s="6"/>
      <x:c r="I1" s="6"/>
    </x:row>
    <x:row r="2" ht="32" customHeight="1">
      <x:c r="A2" s="6"/>
      <x:c r="B2" s="6"/>
      <x:c r="C2" s="6"/>
      <x:c r="D2" s="6"/>
      <x:c r="E2" s="6"/>
      <x:c r="F2" s="6"/>
      <x:c r="G2" s="6"/>
      <x:c r="H2" s="6"/>
      <x:c r="I2" s="6"/>
    </x:row>
    <x:row r="3">
      <x:c r="A3" s="16" t="str">
        <x:v>担当者コード</x:v>
      </x:c>
      <x:c r="B3" s="16" t="str">
        <x:v>作業時間合計</x:v>
      </x:c>
      <x:c r="C3" s="16" t="str">
        <x:v>期待値</x:v>
      </x:c>
      <x:c r="D3" s="16" t="str">
        <x:v>案件コード</x:v>
      </x:c>
      <x:c r="E3" s="16" t="str">
        <x:v>作業時間合計</x:v>
      </x:c>
      <x:c r="F3" s="16" t="str">
        <x:v>期待値</x:v>
      </x:c>
      <x:c r="G3" s="16" t="str">
        <x:v>ステータス</x:v>
      </x:c>
      <x:c r="H3" s="16" t="str">
        <x:v>件数</x:v>
      </x:c>
      <x:c r="I3" s="16" t="str">
        <x:v>期待値</x:v>
      </x:c>
    </x:row>
    <x:row r="4">
      <x:c r="A4" s="24" t="str">
        <x:v>E001</x:v>
      </x:c>
      <x:c r="B4" s="50" t="n">
        <x:f>SUMIFS('01_実績入力'!$I$4:$I$11,'01_実績入力'!$B$4:$B$11,A4)</x:f>
        <x:v>3.5</x:v>
      </x:c>
      <x:c r="C4" s="48" t="n">
        <x:v>3.5</x:v>
      </x:c>
      <x:c r="D4" s="24" t="str">
        <x:v>P001</x:v>
      </x:c>
      <x:c r="E4" s="50" t="n">
        <x:f>SUMIFS('01_実績入力'!$I$4:$I$11,'01_実績入力'!$E$4:$E$11,D4)</x:f>
        <x:v>5.5</x:v>
      </x:c>
      <x:c r="F4" s="48" t="n">
        <x:v>5.5</x:v>
      </x:c>
      <x:c r="G4" s="24" t="str">
        <x:v>未着手</x:v>
      </x:c>
      <x:c r="H4" s="32" t="n">
        <x:f>COUNTIFS('01_実績入力'!$J$4:$J$11,G4)</x:f>
        <x:v>0</x:v>
      </x:c>
      <x:c r="I4" s="48" t="n">
        <x:v>0</x:v>
      </x:c>
    </x:row>
    <x:row r="5">
      <x:c r="A5" s="24" t="str">
        <x:v>E002</x:v>
      </x:c>
      <x:c r="B5" s="50" t="n">
        <x:f>SUMIFS('01_実績入力'!$I$4:$I$11,'01_実績入力'!$B$4:$B$11,A5)</x:f>
        <x:v>5</x:v>
      </x:c>
      <x:c r="C5" s="48" t="n">
        <x:v>5</x:v>
      </x:c>
      <x:c r="D5" s="24" t="str">
        <x:v>P002</x:v>
      </x:c>
      <x:c r="E5" s="50" t="n">
        <x:f>SUMIFS('01_実績入力'!$I$4:$I$11,'01_実績入力'!$E$4:$E$11,D5)</x:f>
        <x:v>3</x:v>
      </x:c>
      <x:c r="F5" s="48" t="n">
        <x:v>3</x:v>
      </x:c>
      <x:c r="G5" s="24" t="str">
        <x:v>進行中</x:v>
      </x:c>
      <x:c r="H5" s="32" t="n">
        <x:f>COUNTIFS('01_実績入力'!$J$4:$J$11,G5)</x:f>
        <x:v>2</x:v>
      </x:c>
      <x:c r="I5" s="48" t="n">
        <x:v>2</x:v>
      </x:c>
    </x:row>
    <x:row r="6">
      <x:c r="A6" s="24" t="str">
        <x:v>E003</x:v>
      </x:c>
      <x:c r="B6" s="50" t="n">
        <x:f>SUMIFS('01_実績入力'!$I$4:$I$11,'01_実績入力'!$B$4:$B$11,A6)</x:f>
        <x:v>3</x:v>
      </x:c>
      <x:c r="C6" s="48" t="n">
        <x:v>3</x:v>
      </x:c>
      <x:c r="D6" s="24" t="str">
        <x:v>P003</x:v>
      </x:c>
      <x:c r="E6" s="50" t="n">
        <x:f>SUMIFS('01_実績入力'!$I$4:$I$11,'01_実績入力'!$E$4:$E$11,D6)</x:f>
        <x:v>3</x:v>
      </x:c>
      <x:c r="F6" s="48" t="n">
        <x:v>3</x:v>
      </x:c>
      <x:c r="G6" s="24" t="str">
        <x:v>完了</x:v>
      </x:c>
      <x:c r="H6" s="32" t="n">
        <x:f>COUNTIFS('01_実績入力'!$J$4:$J$11,G6)</x:f>
        <x:v>6</x:v>
      </x:c>
      <x:c r="I6" s="48" t="n">
        <x:v>6</x:v>
      </x:c>
    </x:row>
    <x:row r="8">
      <x:c r="A8" s="54" t="str">
        <x:v>手計算確認：E001＝2.0＋1.0＋0.5＝3.5</x:v>
      </x:c>
      <x:c r="B8" s="54"/>
      <x:c r="C8" s="54"/>
      <x:c r="D8" s="54"/>
      <x:c r="E8" s="54"/>
      <x:c r="F8" s="54"/>
      <x:c r="G8" s="54"/>
      <x:c r="H8" s="54"/>
      <x:c r="I8" s="54"/>
    </x:row>
  </x:sheetData>
  <x:mergeCells>
    <x:mergeCell ref="A1:I2"/>
    <x:mergeCell ref="A8:I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34" hidden="0" customWidth="1"/>
    <x:col min="4" max="4" width="14" hidden="0" customWidth="1"/>
    <x:col min="5" max="5" width="44" hidden="0" customWidth="1"/>
    <x:col min="6" max="6" width="16" hidden="0" customWidth="1"/>
  </x:cols>
  <x:sheetData>
    <x:row r="1" ht="32" customHeight="1">
      <x:c r="A1" s="6" t="str">
        <x:v>第七章 完成確認・テスト記録</x:v>
      </x:c>
      <x:c r="B1" s="6"/>
      <x:c r="C1" s="6"/>
      <x:c r="D1" s="6"/>
      <x:c r="E1" s="6"/>
      <x:c r="F1" s="6"/>
    </x:row>
    <x:row r="2" ht="32" customHeight="1">
      <x:c r="A2" s="6"/>
      <x:c r="B2" s="6"/>
      <x:c r="C2" s="6"/>
      <x:c r="D2" s="6"/>
      <x:c r="E2" s="6"/>
      <x:c r="F2" s="6"/>
    </x:row>
    <x:row r="4">
      <x:c r="A4" s="16" t="str">
        <x:v>No.</x:v>
      </x:c>
      <x:c r="B4" s="16" t="str">
        <x:v>確認項目</x:v>
      </x:c>
      <x:c r="C4" s="16" t="str">
        <x:v>期待状態</x:v>
      </x:c>
      <x:c r="D4" s="16" t="str">
        <x:v>結果</x:v>
      </x:c>
      <x:c r="E4" s="16" t="str">
        <x:v>実際の結果・補足</x:v>
      </x:c>
      <x:c r="F4" s="16" t="str">
        <x:v>修正後</x:v>
      </x:c>
    </x:row>
    <x:row r="5">
      <x:c r="A5" s="24" t="n">
        <x:v>1</x:v>
      </x:c>
      <x:c r="B5" s="24" t="str">
        <x:v>業務用6シート</x:v>
      </x:c>
      <x:c r="C5" s="24" t="str">
        <x:v>指定順に6シート</x:v>
      </x:c>
      <x:c r="D5" s="24" t="str">
        <x:v>未確認</x:v>
      </x:c>
      <x:c r="E5" s="24" t="str"/>
      <x:c r="F5" s="24" t="str"/>
    </x:row>
    <x:row r="6">
      <x:c r="A6" s="24" t="n">
        <x:v>2</x:v>
      </x:c>
      <x:c r="B6" s="24" t="str">
        <x:v>演習補助2シート</x:v>
      </x:c>
      <x:c r="C6" s="24" t="str">
        <x:v>完成確認・振り返り</x:v>
      </x:c>
      <x:c r="D6" s="24" t="str">
        <x:v>未確認</x:v>
      </x:c>
      <x:c r="E6" s="24" t="str"/>
      <x:c r="F6" s="24" t="str"/>
    </x:row>
    <x:row r="7">
      <x:c r="A7" s="24" t="n">
        <x:v>3</x:v>
      </x:c>
      <x:c r="B7" s="24" t="str">
        <x:v>実績テーブル12列</x:v>
      </x:c>
      <x:c r="C7" s="24" t="str">
        <x:v>8件・12列</x:v>
      </x:c>
      <x:c r="D7" s="24" t="str">
        <x:v>未確認</x:v>
      </x:c>
      <x:c r="E7" s="24" t="str"/>
      <x:c r="F7" s="24" t="str"/>
    </x:row>
    <x:row r="8">
      <x:c r="A8" s="24" t="n">
        <x:v>4</x:v>
      </x:c>
      <x:c r="B8" s="24" t="str">
        <x:v>直接入力列と自動表示列</x:v>
      </x:c>
      <x:c r="C8" s="24" t="str">
        <x:v>色と文字で区別</x:v>
      </x:c>
      <x:c r="D8" s="24" t="str">
        <x:v>未確認</x:v>
      </x:c>
      <x:c r="E8" s="24" t="str"/>
      <x:c r="F8" s="24" t="str"/>
    </x:row>
    <x:row r="9">
      <x:c r="A9" s="24" t="n">
        <x:v>5</x:v>
      </x:c>
      <x:c r="B9" s="24" t="str">
        <x:v>3つのマスタ</x:v>
      </x:c>
      <x:c r="C9" s="24" t="str">
        <x:v>各3件・空欄重複なし</x:v>
      </x:c>
      <x:c r="D9" s="24" t="str">
        <x:v>未確認</x:v>
      </x:c>
      <x:c r="E9" s="24" t="str"/>
      <x:c r="F9" s="24" t="str"/>
    </x:row>
    <x:row r="10">
      <x:c r="A10" s="24" t="n">
        <x:v>6</x:v>
      </x:c>
      <x:c r="B10" s="24" t="str">
        <x:v>入力規則5列</x:v>
      </x:c>
      <x:c r="C10" s="24" t="str">
        <x:v>コード3列・時間・ステータス</x:v>
      </x:c>
      <x:c r="D10" s="24" t="str">
        <x:v>未確認</x:v>
      </x:c>
      <x:c r="E10" s="24" t="str"/>
      <x:c r="F10" s="24" t="str"/>
    </x:row>
    <x:row r="11">
      <x:c r="A11" s="24" t="n">
        <x:v>7</x:v>
      </x:c>
      <x:c r="B11" s="24" t="str">
        <x:v>XLOOKUP・IF</x:v>
      </x:c>
      <x:c r="C11" s="24" t="str">
        <x:v>名称表示・OK/要確認</x:v>
      </x:c>
      <x:c r="D11" s="24" t="str">
        <x:v>未確認</x:v>
      </x:c>
      <x:c r="E11" s="24" t="str"/>
      <x:c r="F11" s="24" t="str"/>
    </x:row>
    <x:row r="12">
      <x:c r="A12" s="24" t="n">
        <x:v>8</x:v>
      </x:c>
      <x:c r="B12" s="24" t="str">
        <x:v>SUMIFS・COUNTIFS</x:v>
      </x:c>
      <x:c r="C12" s="24" t="str">
        <x:v>標準値と一致</x:v>
      </x:c>
      <x:c r="D12" s="24" t="str">
        <x:v>未確認</x:v>
      </x:c>
      <x:c r="E12" s="24" t="str"/>
      <x:c r="F12" s="24" t="str"/>
    </x:row>
    <x:row r="13">
      <x:c r="A13" s="24" t="n">
        <x:v>9</x:v>
      </x:c>
      <x:c r="B13" s="24" t="str">
        <x:v>標準状態</x:v>
      </x:c>
      <x:c r="C13" s="24" t="str">
        <x:v>8件すべてOK</x:v>
      </x:c>
      <x:c r="D13" s="24" t="str">
        <x:v>未確認</x:v>
      </x:c>
      <x:c r="E13" s="24" t="str"/>
      <x:c r="F13" s="24" t="str"/>
    </x:row>
    <x:row r="14">
      <x:c r="A14" s="24" t="n">
        <x:v>10</x:v>
      </x:c>
      <x:c r="B14" s="24" t="str">
        <x:v>空欄テスト</x:v>
      </x:c>
      <x:c r="C14" s="24" t="str">
        <x:v>作業時間空欄で要確認</x:v>
      </x:c>
      <x:c r="D14" s="24" t="str">
        <x:v>未確認</x:v>
      </x:c>
      <x:c r="E14" s="24" t="str"/>
      <x:c r="F14" s="24" t="str"/>
    </x:row>
    <x:row r="15">
      <x:c r="A15" s="24" t="n">
        <x:v>11</x:v>
      </x:c>
      <x:c r="B15" s="24" t="str">
        <x:v>未登録テスト</x:v>
      </x:c>
      <x:c r="C15" s="24" t="str">
        <x:v>E999で未登録・要確認</x:v>
      </x:c>
      <x:c r="D15" s="24" t="str">
        <x:v>未確認</x:v>
      </x:c>
      <x:c r="E15" s="24" t="str"/>
      <x:c r="F15" s="24" t="str"/>
    </x:row>
    <x:row r="16">
      <x:c r="A16" s="24" t="n">
        <x:v>12</x:v>
      </x:c>
      <x:c r="B16" s="24" t="str">
        <x:v>復元確認</x:v>
      </x:c>
      <x:c r="C16" s="24" t="str">
        <x:v>E002・1.5・8件OK</x:v>
      </x:c>
      <x:c r="D16" s="24" t="str">
        <x:v>未確認</x:v>
      </x:c>
      <x:c r="E16" s="24" t="str"/>
      <x:c r="F16" s="24" t="str"/>
    </x:row>
    <x:row r="17">
      <x:c r="A17" s="24" t="n">
        <x:v>13</x:v>
      </x:c>
      <x:c r="B17" s="24" t="str">
        <x:v>保存・再オープン</x:v>
      </x:c>
      <x:c r="C17" s="24" t="str">
        <x:v>記録と標準値を保持</x:v>
      </x:c>
      <x:c r="D17" s="24" t="str">
        <x:v>未確認</x:v>
      </x:c>
      <x:c r="E17" s="24" t="str"/>
      <x:c r="F17" s="24" t="str"/>
    </x:row>
    <x:row r="19">
      <x:c r="A19" s="16" t="str">
        <x:v>操作記録</x:v>
      </x:c>
      <x:c r="B19" s="16" t="str">
        <x:v>記入・選択</x:v>
      </x:c>
      <x:c r="C19" s="16" t="str">
        <x:v>期待</x:v>
      </x:c>
      <x:c r="D19" s="16" t="str">
        <x:v>補足</x:v>
      </x:c>
    </x:row>
    <x:row r="20">
      <x:c r="A20" s="24" t="str">
        <x:v>使用環境</x:v>
      </x:c>
      <x:c r="B20" s="24" t="str"/>
      <x:c r="C20" s="24" t="str">
        <x:v>パソコン版／Web版</x:v>
      </x:c>
      <x:c r="D20" s="24" t="str"/>
    </x:row>
    <x:row r="21">
      <x:c r="A21" s="24" t="str">
        <x:v>ファイル名</x:v>
      </x:c>
      <x:c r="B21" s="24" t="str"/>
      <x:c r="C21" s="24" t="str">
        <x:v>受講者名_07_月次作業実績管理.xlsx</x:v>
      </x:c>
      <x:c r="D21" s="24" t="str"/>
    </x:row>
    <x:row r="22">
      <x:c r="A22" s="24" t="str">
        <x:v>標準状態</x:v>
      </x:c>
      <x:c r="B22" s="24" t="str">
        <x:v>未確認</x:v>
      </x:c>
      <x:c r="C22" s="24" t="str">
        <x:v>OK</x:v>
      </x:c>
      <x:c r="D22" s="24" t="str"/>
    </x:row>
    <x:row r="23">
      <x:c r="A23" s="24" t="str">
        <x:v>空欄テスト</x:v>
      </x:c>
      <x:c r="B23" s="24" t="str">
        <x:v>未確認</x:v>
      </x:c>
      <x:c r="C23" s="24" t="str">
        <x:v>OK</x:v>
      </x:c>
      <x:c r="D23" s="24" t="str"/>
    </x:row>
    <x:row r="24">
      <x:c r="A24" s="24" t="str">
        <x:v>未登録テスト</x:v>
      </x:c>
      <x:c r="B24" s="24" t="str">
        <x:v>未確認</x:v>
      </x:c>
      <x:c r="C24" s="24" t="str">
        <x:v>OK</x:v>
      </x:c>
      <x:c r="D24" s="24" t="str"/>
    </x:row>
    <x:row r="25">
      <x:c r="A25" s="24" t="str">
        <x:v>復元確認</x:v>
      </x:c>
      <x:c r="B25" s="24" t="str">
        <x:v>未確認</x:v>
      </x:c>
      <x:c r="C25" s="24" t="str">
        <x:v>OK</x:v>
      </x:c>
      <x:c r="D25" s="24" t="str"/>
    </x:row>
    <x:row r="26">
      <x:c r="A26" s="24" t="str">
        <x:v>保存・再オープン</x:v>
      </x:c>
      <x:c r="B26" s="24" t="str">
        <x:v>未確認</x:v>
      </x:c>
      <x:c r="C26" s="24" t="str">
        <x:v>OK</x:v>
      </x:c>
      <x:c r="D26" s="24" t="str"/>
    </x:row>
    <x:row r="27">
      <x:c r="A27" s="24" t="str">
        <x:v>未解決の質問</x:v>
      </x:c>
      <x:c r="B27" s="24" t="str"/>
      <x:c r="C27" s="24" t="str">
        <x:v>なし／内容を記載</x:v>
      </x:c>
      <x:c r="D27" s="24" t="str"/>
    </x:row>
    <x:row r="28">
      <x:c r="A28" s="24" t="str">
        <x:v>第七章の完成判定</x:v>
      </x:c>
      <x:c r="B28" s="24" t="str">
        <x:v>要確認</x:v>
      </x:c>
      <x:c r="C28" s="24" t="str">
        <x:v>完成</x:v>
      </x:c>
      <x:c r="D28" s="24" t="str"/>
    </x:row>
  </x:sheetData>
  <x:mergeCells>
    <x:mergeCell ref="A1:F2"/>
  </x:mergeCells>
  <x:dataValidations count="5">
    <x:dataValidation type="list" sqref="D5:D17">
      <x:formula1>"未確認,OK,要確認"</x:formula1>
    </x:dataValidation>
    <x:dataValidation type="list" sqref="F5:F17">
      <x:formula1>"不要,修正後OK,未解決"</x:formula1>
    </x:dataValidation>
    <x:dataValidation type="list" sqref="B20">
      <x:formula1>"パソコン版,Web版"</x:formula1>
    </x:dataValidation>
    <x:dataValidation type="list" sqref="B22:B26">
      <x:formula1>"未確認,OK,要確認"</x:formula1>
    </x:dataValidation>
    <x:dataValidation type="list" sqref="B28">
      <x:formula1>"完成,要確認"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4" hidden="0" customWidth="1"/>
    <x:col min="3" max="3" width="62" hidden="0" customWidth="1"/>
    <x:col min="4" max="4" width="14" hidden="0" customWidth="1"/>
  </x:cols>
  <x:sheetData>
    <x:row r="1" ht="32" customHeight="1">
      <x:c r="A1" s="6" t="str">
        <x:v>初級コース 振り返り</x:v>
      </x:c>
      <x:c r="B1" s="6"/>
      <x:c r="C1" s="6"/>
      <x:c r="D1" s="6"/>
    </x:row>
    <x:row r="2" ht="32" customHeight="1">
      <x:c r="A2" s="6"/>
      <x:c r="B2" s="6"/>
      <x:c r="C2" s="6"/>
      <x:c r="D2" s="6"/>
    </x:row>
    <x:row r="4">
      <x:c r="A4" s="16" t="str">
        <x:v>No.</x:v>
      </x:c>
      <x:c r="B4" s="16" t="str">
        <x:v>質問</x:v>
      </x:c>
      <x:c r="C4" s="16" t="str">
        <x:v>回答</x:v>
      </x:c>
      <x:c r="D4" s="16" t="str">
        <x:v>目安</x:v>
      </x:c>
    </x:row>
    <x:row r="5">
      <x:c r="A5" s="24" t="n">
        <x:v>1</x:v>
      </x:c>
      <x:c r="B5" s="24" t="str">
        <x:v>直接入力する列と自動表示列の違いを書いてください</x:v>
      </x:c>
      <x:c r="C5" s="28" t="str"/>
      <x:c r="D5" s="24" t="str">
        <x:v>1～2文</x:v>
      </x:c>
    </x:row>
    <x:row r="6">
      <x:c r="A6" s="24" t="n">
        <x:v>2</x:v>
      </x:c>
      <x:c r="B6" s="24" t="str">
        <x:v>テスト後に元の値へ戻す理由を書いてください</x:v>
      </x:c>
      <x:c r="C6" s="28" t="str"/>
      <x:c r="D6" s="24" t="str">
        <x:v>1～2文</x:v>
      </x:c>
    </x:row>
    <x:row r="7">
      <x:c r="A7" s="24" t="n">
        <x:v>3</x:v>
      </x:c>
      <x:c r="B7" s="24" t="str">
        <x:v>このファイルで削減できる手作業を書いてください</x:v>
      </x:c>
      <x:c r="C7" s="28" t="str"/>
      <x:c r="D7" s="24" t="str">
        <x:v>1～2文</x:v>
      </x:c>
    </x:row>
    <x:row r="9">
      <x:c r="A9" s="59" t="str">
        <x:v>長い文章は必要ありません。自分の言葉で、具体的に書ければ完了です。</x:v>
      </x:c>
      <x:c r="B9" s="59"/>
      <x:c r="C9" s="59"/>
      <x:c r="D9" s="59"/>
    </x:row>
  </x:sheetData>
  <x:mergeCells>
    <x:mergeCell ref="A1:D2"/>
    <x:mergeCell ref="A9:D9"/>
  </x:mergeCells>
  <x:pageMargins left="0.7" right="0.7" top="0.75" bottom="0.75" header="0.3" footer="0.3"/>
</x:worksheet>
</file>