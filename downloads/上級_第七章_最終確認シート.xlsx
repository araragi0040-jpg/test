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d7789b35364f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最初に読む" sheetId="1" r:id="R3a3ff0af446542ff"/>
    <x:sheet xmlns:r="http://schemas.openxmlformats.org/officeDocument/2006/relationships" name="01_環境・成果物確認" sheetId="2" r:id="Rdd3993e5020c45b2"/>
    <x:sheet xmlns:r="http://schemas.openxmlformats.org/officeDocument/2006/relationships" name="02_トップページ確認" sheetId="3" r:id="Rbfe83b98d9cd40f1"/>
    <x:sheet xmlns:r="http://schemas.openxmlformats.org/officeDocument/2006/relationships" name="03_案件・資料・Forms" sheetId="4" r:id="R816c6584714f4597"/>
    <x:sheet xmlns:r="http://schemas.openxmlformats.org/officeDocument/2006/relationships" name="04_詳細ページ・導線" sheetId="5" r:id="R7d6dc5605a8444c5"/>
    <x:sheet xmlns:r="http://schemas.openxmlformats.org/officeDocument/2006/relationships" name="05_権限・運用" sheetId="6" r:id="Rc30a120c3ded45f1"/>
    <x:sheet xmlns:r="http://schemas.openxmlformats.org/officeDocument/2006/relationships" name="06_利用者動作確認" sheetId="7" r:id="Rb42c3b778f364b09"/>
    <x:sheet xmlns:r="http://schemas.openxmlformats.org/officeDocument/2006/relationships" name="07_修正・再確認" sheetId="8" r:id="R7309a931cb194561"/>
    <x:sheet xmlns:r="http://schemas.openxmlformats.org/officeDocument/2006/relationships" name="08_提出確認" sheetId="9" r:id="R1109da01f2dd4b7d"/>
    <x:sheet xmlns:r="http://schemas.openxmlformats.org/officeDocument/2006/relationships" name="99_困ったとき" sheetId="10" r:id="R631cc8b7df20410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sz val="11"/>
      <x:color rgb="FF203040"/>
      <x:name val="Carlito"/>
    </x:font>
    <x:font>
      <x:b/>
      <x:sz val="11"/>
      <x:color rgb="FF203040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375A7F"/>
      </x:patternFill>
    </x:fill>
    <x:fill>
      <x:patternFill patternType="solid">
        <x:fgColor rgb="FF4E7398"/>
      </x:patternFill>
    </x:fill>
    <x:fill>
      <x:patternFill patternType="solid">
        <x:fgColor rgb="FFFFF3CD"/>
      </x:patternFill>
    </x:fill>
    <x:fill>
      <x:patternFill patternType="solid">
        <x:fgColor rgb="FFE7F3EB"/>
      </x:patternFill>
    </x:fill>
    <x:fill>
      <x:patternFill patternType="solid">
        <x:fgColor rgb="FFEEF2F5"/>
      </x:patternFill>
    </x:fill>
    <x:fill>
      <x:patternFill patternType="solid">
        <x:fgColor rgb="FFFCE8E6"/>
      </x:patternFill>
    </x:fill>
    <x:fill>
      <x:patternFill patternType="solid">
        <x:fgColor rgb="FFDDE8F2"/>
      </x:patternFill>
    </x:fill>
  </x:fills>
  <x:borders count="2">
    <x:border/>
    <x:border/>
  </x:borders>
  <x:cellStyleXfs count="1">
    <x:xf numFmtId="0" fontId="0" fillId="0" borderId="0"/>
  </x:cellStyleXfs>
  <x:cellXfs count="5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center" wrapText="1"/>
    </x:xf>
    <x:xf numFmtId="0" fontId="3" fillId="6" borderId="0" xfId="0" applyNumberFormat="1" applyFont="1" applyFill="1" applyBorder="1" applyAlignment="1">
      <x:alignment vertical="top" wrapText="1"/>
    </x:xf>
    <x:xf numFmtId="0" fontId="3" fillId="6" borderId="1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wrapText="1"/>
    </x:xf>
    <x:xf numFmtId="0" fontId="4" fillId="7" borderId="0" xfId="0" applyNumberFormat="1" applyFont="1" applyFill="1" applyBorder="1" applyAlignment="1">
      <x:alignment vertical="center" wrapText="1"/>
    </x:xf>
    <x:xf numFmtId="0" fontId="0" fillId="7" borderId="1" xfId="0" applyNumberFormat="1" applyFont="1" applyFill="1" applyBorder="1"/>
    <x:xf numFmtId="0" fontId="4" fillId="7" borderId="1" xfId="0" applyNumberFormat="1" applyFont="1" applyFill="1" applyBorder="1"/>
    <x:xf numFmtId="0" fontId="4" fillId="7" borderId="1" xfId="0" applyNumberFormat="1" applyFont="1" applyFill="1" applyBorder="1" applyAlignment="1">
      <x:alignment wrapText="1"/>
    </x:xf>
    <x:xf numFmtId="0" fontId="4" fillId="7" borderId="1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wrapText="1"/>
    </x:xf>
    <x:xf numFmtId="0" fontId="3" fillId="8" borderId="0" xfId="0" applyNumberFormat="1" applyFont="1" applyFill="1" applyBorder="1" applyAlignment="1">
      <x:alignment vertical="top" wrapText="1"/>
    </x:xf>
    <x:xf numFmtId="0" fontId="0" fillId="8" borderId="1" xfId="0" applyNumberFormat="1" applyFont="1" applyFill="1" applyBorder="1"/>
    <x:xf numFmtId="0" fontId="3" fillId="8" borderId="1" xfId="0" applyNumberFormat="1" applyFont="1" applyFill="1" applyBorder="1"/>
    <x:xf numFmtId="0" fontId="3" fillId="8" borderId="1" xfId="0" applyNumberFormat="1" applyFont="1" applyFill="1" applyBorder="1" applyAlignment="1">
      <x:alignment wrapText="1"/>
    </x:xf>
    <x:xf numFmtId="0" fontId="3" fillId="8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549cb0a11140a7" /><Relationship Type="http://schemas.openxmlformats.org/officeDocument/2006/relationships/theme" Target="/xl/theme/theme1.xml" Id="Rb4069942b6004dff" /><Relationship Type="http://schemas.openxmlformats.org/officeDocument/2006/relationships/sharedStrings" Target="/xl/sharedStrings.xml" Id="Rc2440d1ba8d64023" /><Relationship Type="http://schemas.openxmlformats.org/officeDocument/2006/relationships/worksheet" Target="/xl/worksheets/sheet1.xml" Id="R3a3ff0af446542ff" /><Relationship Type="http://schemas.openxmlformats.org/officeDocument/2006/relationships/worksheet" Target="/xl/worksheets/sheet2.xml" Id="Rdd3993e5020c45b2" /><Relationship Type="http://schemas.openxmlformats.org/officeDocument/2006/relationships/worksheet" Target="/xl/worksheets/sheet3.xml" Id="Rbfe83b98d9cd40f1" /><Relationship Type="http://schemas.openxmlformats.org/officeDocument/2006/relationships/worksheet" Target="/xl/worksheets/sheet4.xml" Id="R816c6584714f4597" /><Relationship Type="http://schemas.openxmlformats.org/officeDocument/2006/relationships/worksheet" Target="/xl/worksheets/sheet5.xml" Id="R7d6dc5605a8444c5" /><Relationship Type="http://schemas.openxmlformats.org/officeDocument/2006/relationships/worksheet" Target="/xl/worksheets/sheet6.xml" Id="Rc30a120c3ded45f1" /><Relationship Type="http://schemas.openxmlformats.org/officeDocument/2006/relationships/worksheet" Target="/xl/worksheets/sheet7.xml" Id="Rb42c3b778f364b09" /><Relationship Type="http://schemas.openxmlformats.org/officeDocument/2006/relationships/worksheet" Target="/xl/worksheets/sheet8.xml" Id="R7309a931cb194561" /><Relationship Type="http://schemas.openxmlformats.org/officeDocument/2006/relationships/worksheet" Target="/xl/worksheets/sheet9.xml" Id="R1109da01f2dd4b7d" /><Relationship Type="http://schemas.openxmlformats.org/officeDocument/2006/relationships/worksheet" Target="/xl/worksheets/sheet10.xml" Id="R631cc8b7df20410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5" hidden="0" customWidth="1"/>
    <x:col min="3" max="3" width="41" hidden="0" customWidth="1"/>
    <x:col min="4" max="4" width="30" hidden="0" customWidth="1"/>
    <x:col min="5" max="5" width="41" hidden="0" customWidth="1"/>
    <x:col min="6" max="6" width="16" hidden="0" customWidth="1"/>
  </x:cols>
  <x:sheetData>
    <x:row r="1" ht="34" customHeight="1">
      <x:c r="A1" s="6" t="str">
        <x:v>上級・第七章　最終確認シート</x:v>
      </x:c>
      <x:c r="B1" s="6"/>
      <x:c r="C1" s="6"/>
      <x:c r="D1" s="6"/>
      <x:c r="E1" s="6"/>
      <x:c r="F1" s="6"/>
    </x:row>
    <x:row r="2" ht="34" customHeight="1">
      <x:c r="A2" s="6"/>
      <x:c r="B2" s="6"/>
      <x:c r="C2" s="6"/>
      <x:c r="D2" s="6"/>
      <x:c r="E2" s="6"/>
      <x:c r="F2" s="6"/>
    </x:row>
    <x:row r="4">
      <x:c r="A4" s="16" t="str">
        <x:v>順番</x:v>
      </x:c>
      <x:c r="B4" s="16" t="str">
        <x:v>シート・操作</x:v>
      </x:c>
      <x:c r="C4" s="16" t="str">
        <x:v>行うこと</x:v>
      </x:c>
      <x:c r="D4" s="16" t="str">
        <x:v>完成状態</x:v>
      </x:c>
      <x:c r="E4" s="16" t="str">
        <x:v>困った場合</x:v>
      </x:c>
      <x:c r="F4" s="16" t="str">
        <x:v>確認</x:v>
      </x:c>
    </x:row>
    <x:row r="5">
      <x:c r="A5" s="24" t="n">
        <x:v>1</x:v>
      </x:c>
      <x:c r="B5" s="24" t="str">
        <x:v>01_環境・成果物確認</x:v>
      </x:c>
      <x:c r="C5" s="24" t="str">
        <x:v>6つの成果物を開く</x:v>
      </x:c>
      <x:c r="D5" s="24" t="str">
        <x:v>全項目確認</x:v>
      </x:c>
      <x:c r="E5" s="24" t="str">
        <x:v>新しく作らず講師へ</x:v>
      </x:c>
      <x:c r="F5" s="24" t="str">
        <x:v>未確認</x:v>
      </x:c>
    </x:row>
    <x:row r="6">
      <x:c r="A6" s="24" t="n">
        <x:v>2</x:v>
      </x:c>
      <x:c r="B6" s="24" t="str">
        <x:v>02_トップページ確認</x:v>
      </x:c>
      <x:c r="C6" s="24" t="str">
        <x:v>6領域・5リンクを確認</x:v>
      </x:c>
      <x:c r="D6" s="24" t="str">
        <x:v>期待値と一致</x:v>
      </x:c>
      <x:c r="E6" s="24" t="str">
        <x:v>表示とリンクを優先</x:v>
      </x:c>
      <x:c r="F6" s="24" t="str">
        <x:v>未確認</x:v>
      </x:c>
    </x:row>
    <x:row r="7">
      <x:c r="A7" s="24" t="n">
        <x:v>3</x:v>
      </x:c>
      <x:c r="B7" s="24" t="str">
        <x:v>03_案件・資料・Forms</x:v>
      </x:c>
      <x:c r="C7" s="24" t="str">
        <x:v>最新の件数を確認</x:v>
      </x:c>
      <x:c r="D7" s="24" t="str">
        <x:v>すべて一致</x:v>
      </x:c>
      <x:c r="E7" s="24" t="str">
        <x:v>列やデータは変更しない</x:v>
      </x:c>
      <x:c r="F7" s="24" t="str">
        <x:v>未確認</x:v>
      </x:c>
    </x:row>
    <x:row r="8">
      <x:c r="A8" s="24" t="n">
        <x:v>4</x:v>
      </x:c>
      <x:c r="B8" s="24" t="str">
        <x:v>04_詳細ページ・導線</x:v>
      </x:c>
      <x:c r="C8" s="24" t="str">
        <x:v>詳細ページと戻る導線</x:v>
      </x:c>
      <x:c r="D8" s="24" t="str">
        <x:v>4件表示・往復可能</x:v>
      </x:c>
      <x:c r="E8" s="24" t="str">
        <x:v>URLを確認</x:v>
      </x:c>
      <x:c r="F8" s="24" t="str">
        <x:v>未確認</x:v>
      </x:c>
    </x:row>
    <x:row r="9">
      <x:c r="A9" s="24" t="n">
        <x:v>5</x:v>
      </x:c>
      <x:c r="B9" s="24" t="str">
        <x:v>05_権限・運用</x:v>
      </x:c>
      <x:c r="C9" s="24" t="str">
        <x:v>第六章の要約を確認</x:v>
      </x:c>
      <x:c r="D9" s="24" t="str">
        <x:v>期待値と一致</x:v>
      </x:c>
      <x:c r="E9" s="24" t="str">
        <x:v>権限は変更しない</x:v>
      </x:c>
      <x:c r="F9" s="24" t="str">
        <x:v>未確認</x:v>
      </x:c>
    </x:row>
    <x:row r="10">
      <x:c r="A10" s="24" t="n">
        <x:v>6</x:v>
      </x:c>
      <x:c r="B10" s="24" t="str">
        <x:v>06_利用者動作確認</x:v>
      </x:c>
      <x:c r="C10" s="24" t="str">
        <x:v>主要導線6件を確認</x:v>
      </x:c>
      <x:c r="D10" s="24" t="str">
        <x:v>6件確認</x:v>
      </x:c>
      <x:c r="E10" s="24" t="str">
        <x:v>講師と一緒に確認</x:v>
      </x:c>
      <x:c r="F10" s="24" t="str">
        <x:v>未確認</x:v>
      </x:c>
    </x:row>
    <x:row r="11">
      <x:c r="A11" s="24" t="n">
        <x:v>7</x:v>
      </x:c>
      <x:c r="B11" s="24" t="str">
        <x:v>07_修正・再確認</x:v>
      </x:c>
      <x:c r="C11" s="24" t="str">
        <x:v>最大3件だけ修正</x:v>
      </x:c>
      <x:c r="D11" s="24" t="str">
        <x:v>再確認済み</x:v>
      </x:c>
      <x:c r="E11" s="24" t="str">
        <x:v>4件目以降は講師確認</x:v>
      </x:c>
      <x:c r="F11" s="24" t="str">
        <x:v>未確認</x:v>
      </x:c>
    </x:row>
    <x:row r="12">
      <x:c r="A12" s="24" t="n">
        <x:v>8</x:v>
      </x:c>
      <x:c r="B12" s="24" t="str">
        <x:v>08_提出確認</x:v>
      </x:c>
      <x:c r="C12" s="24" t="str">
        <x:v>理解確認5問と完成記録</x:v>
      </x:c>
      <x:c r="D12" s="24" t="str">
        <x:v>提出可能</x:v>
      </x:c>
      <x:c r="E12" s="24" t="str">
        <x:v>完成箇所は作り直さない</x:v>
      </x:c>
      <x:c r="F12" s="24" t="str">
        <x:v>未確認</x:v>
      </x:c>
    </x:row>
    <x:row r="13">
      <x:c r="A13" s="24" t="n">
        <x:v>9</x:v>
      </x:c>
      <x:c r="B13" s="24" t="str">
        <x:v>保存</x:v>
      </x:c>
      <x:c r="C13" s="24" t="str">
        <x:v>指定名でExcelを保存</x:v>
      </x:c>
      <x:c r="D13" s="24" t="str">
        <x:v>Excel1点提出</x:v>
      </x:c>
      <x:c r="E13" s="24" t="str">
        <x:v>読み取り専用ならコピー保存</x:v>
      </x:c>
      <x:c r="F13" s="24" t="str">
        <x:v>未確認</x:v>
      </x:c>
    </x:row>
    <x:row r="15">
      <x:c r="A15" s="16" t="str">
        <x:v>基本情報</x:v>
      </x:c>
      <x:c r="B15" s="16" t="str">
        <x:v>入力</x:v>
      </x:c>
    </x:row>
    <x:row r="16">
      <x:c r="A16" s="24" t="str">
        <x:v>受講者名</x:v>
      </x:c>
      <x:c r="B16" s="28" t="str"/>
    </x:row>
    <x:row r="17">
      <x:c r="A17" s="24" t="str">
        <x:v>研修用サイト名</x:v>
      </x:c>
      <x:c r="B17" s="28" t="str"/>
    </x:row>
    <x:row r="18">
      <x:c r="A18" s="24" t="str">
        <x:v>トップページURL</x:v>
      </x:c>
      <x:c r="B18" s="28" t="str"/>
    </x:row>
    <x:row r="19">
      <x:c r="A19" s="24" t="str">
        <x:v>案件進捗ページURL</x:v>
      </x:c>
      <x:c r="B19" s="28" t="str"/>
    </x:row>
    <x:row r="20">
      <x:c r="A20" s="24" t="str">
        <x:v>保存名</x:v>
      </x:c>
      <x:c r="B20" s="28" t="str">
        <x:v>上級_第七章_最終確認_受講者名.xlsx</x:v>
      </x:c>
    </x:row>
    <x:row r="21">
      <x:c r="A21" s="24" t="str">
        <x:v>公開状態</x:v>
      </x:c>
      <x:c r="B21" s="24" t="str">
        <x:v>トップ・案件進捗ページとも下書き</x:v>
      </x:c>
    </x:row>
    <x:row r="22">
      <x:c r="A22" s="24" t="str">
        <x:v>実際の権限変更</x:v>
      </x:c>
      <x:c r="B22" s="24" t="str">
        <x:v>0件</x:v>
      </x:c>
    </x:row>
    <x:row r="24">
      <x:c r="A24" s="33" t="str">
        <x:v>完成済みの場所は触りません。黄色セルへ記録し、要修正だけを最大3件まで直します。</x:v>
      </x:c>
      <x:c r="B24" s="33"/>
      <x:c r="C24" s="33"/>
      <x:c r="D24" s="33"/>
      <x:c r="E24" s="33"/>
      <x:c r="F24" s="33"/>
    </x:row>
    <x:row r="25">
      <x:c r="A25" s="33"/>
      <x:c r="B25" s="33"/>
      <x:c r="C25" s="33"/>
      <x:c r="D25" s="33"/>
      <x:c r="E25" s="33"/>
      <x:c r="F25" s="33"/>
    </x:row>
  </x:sheetData>
  <x:mergeCells>
    <x:mergeCell ref="A1:F2"/>
    <x:mergeCell ref="A24:F25"/>
  </x:mergeCells>
  <x:dataValidations count="1">
    <x:dataValidation type="list" sqref="F5:F13">
      <x:formula1>"未確認,OK,要修正,講師確認"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58" hidden="0" customWidth="1"/>
    <x:col min="3" max="3" width="42" hidden="0" customWidth="1"/>
    <x:col min="4" max="4" width="36" hidden="0" customWidth="1"/>
    <x:col min="5" max="5" width="16" hidden="0" customWidth="1"/>
    <x:col min="6" max="6" width="44" hidden="0" customWidth="1"/>
  </x:cols>
  <x:sheetData>
    <x:row r="1" ht="34" customHeight="1">
      <x:c r="A1" s="6" t="str">
        <x:v>第一章から第六章の成果物確認</x:v>
      </x:c>
      <x:c r="B1" s="6"/>
      <x:c r="C1" s="6"/>
      <x:c r="D1" s="6"/>
      <x:c r="E1" s="6"/>
      <x:c r="F1" s="6"/>
    </x:row>
    <x:row r="2" ht="34" customHeight="1">
      <x:c r="A2" s="6"/>
      <x:c r="B2" s="6"/>
      <x:c r="C2" s="6"/>
      <x:c r="D2" s="6"/>
      <x:c r="E2" s="6"/>
      <x:c r="F2" s="6"/>
    </x:row>
    <x:row r="4">
      <x:c r="A4" s="16" t="str">
        <x:v>成果物</x:v>
      </x:c>
      <x:c r="B4" s="16" t="str">
        <x:v>URL・保存場所</x:v>
      </x:c>
      <x:c r="C4" s="16" t="str">
        <x:v>期待する状態</x:v>
      </x:c>
      <x:c r="D4" s="16" t="str">
        <x:v>実際の状態</x:v>
      </x:c>
      <x:c r="E4" s="16" t="str">
        <x:v>判定</x:v>
      </x:c>
      <x:c r="F4" s="16" t="str">
        <x:v>要確認メモ</x:v>
      </x:c>
    </x:row>
    <x:row r="5">
      <x:c r="A5" s="38" t="str">
        <x:v>研修用トップページ</x:v>
      </x:c>
      <x:c r="B5" s="28" t="str"/>
      <x:c r="C5" s="38" t="str">
        <x:v>6領域を確認できる</x:v>
      </x:c>
      <x:c r="D5" s="28" t="str"/>
      <x:c r="E5" s="24" t="str">
        <x:v>未確認</x:v>
      </x:c>
      <x:c r="F5" s="28" t="str"/>
    </x:row>
    <x:row r="6">
      <x:c r="A6" s="38" t="str">
        <x:v>案件進捗ページ</x:v>
      </x:c>
      <x:c r="B6" s="28" t="str"/>
      <x:c r="C6" s="38" t="str">
        <x:v>対応中案件4件を確認できる</x:v>
      </x:c>
      <x:c r="D6" s="28" t="str"/>
      <x:c r="E6" s="24" t="str">
        <x:v>未確認</x:v>
      </x:c>
      <x:c r="F6" s="28" t="str"/>
    </x:row>
    <x:row r="7">
      <x:c r="A7" s="38" t="str">
        <x:v>案件・業務進捗リスト</x:v>
      </x:c>
      <x:c r="B7" s="28" t="str"/>
      <x:c r="C7" s="38" t="str">
        <x:v>6列・5件</x:v>
      </x:c>
      <x:c r="D7" s="28" t="str"/>
      <x:c r="E7" s="24" t="str">
        <x:v>未確認</x:v>
      </x:c>
      <x:c r="F7" s="28" t="str"/>
    </x:row>
    <x:row r="8">
      <x:c r="A8" s="38" t="str">
        <x:v>設計資料ライブラリ</x:v>
      </x:c>
      <x:c r="B8" s="28" t="str"/>
      <x:c r="C8" s="38" t="str">
        <x:v>4列・4件</x:v>
      </x:c>
      <x:c r="D8" s="28" t="str"/>
      <x:c r="E8" s="24" t="str">
        <x:v>未確認</x:v>
      </x:c>
      <x:c r="F8" s="28" t="str"/>
    </x:row>
    <x:row r="9">
      <x:c r="A9" s="38" t="str">
        <x:v>改善アイデア受付Forms</x:v>
      </x:c>
      <x:c r="B9" s="28" t="str"/>
      <x:c r="C9" s="38" t="str">
        <x:v>4問・1回答</x:v>
      </x:c>
      <x:c r="D9" s="28" t="str"/>
      <x:c r="E9" s="24" t="str">
        <x:v>未確認</x:v>
      </x:c>
      <x:c r="F9" s="28" t="str"/>
    </x:row>
    <x:row r="10">
      <x:c r="A10" s="38" t="str">
        <x:v>第六章の権限・運用資料</x:v>
      </x:c>
      <x:c r="B10" s="28" t="str"/>
      <x:c r="C10" s="38" t="str">
        <x:v>6対象・8項目要約</x:v>
      </x:c>
      <x:c r="D10" s="28" t="str"/>
      <x:c r="E10" s="24" t="str">
        <x:v>未確認</x:v>
      </x:c>
      <x:c r="F10" s="28" t="str"/>
    </x:row>
    <x:row r="12">
      <x:c r="A12" s="43" t="str">
        <x:v>開けない成果物がある場合は、受講者が新しく作成せず「講師確認」として記録します。</x:v>
      </x:c>
      <x:c r="B12" s="43"/>
      <x:c r="C12" s="43"/>
      <x:c r="D12" s="43"/>
      <x:c r="E12" s="43"/>
      <x:c r="F12" s="43"/>
    </x:row>
    <x:row r="13">
      <x:c r="A13" s="43"/>
      <x:c r="B13" s="43"/>
      <x:c r="C13" s="43"/>
      <x:c r="D13" s="43"/>
      <x:c r="E13" s="43"/>
      <x:c r="F13" s="43"/>
    </x:row>
    <x:row r="14">
      <x:c r="A14" s="43"/>
      <x:c r="B14" s="43"/>
      <x:c r="C14" s="43"/>
      <x:c r="D14" s="43"/>
      <x:c r="E14" s="43"/>
      <x:c r="F14" s="43"/>
    </x:row>
  </x:sheetData>
  <x:mergeCells>
    <x:mergeCell ref="A1:F2"/>
    <x:mergeCell ref="A12:F14"/>
  </x:mergeCells>
  <x:dataValidations count="1">
    <x:dataValidation type="list" sqref="E5:E10">
      <x:formula1>"未確認,OK,要修正,講師確認"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36" hidden="0" customWidth="1"/>
    <x:col min="3" max="3" width="42" hidden="0" customWidth="1"/>
    <x:col min="4" max="4" width="34" hidden="0" customWidth="1"/>
    <x:col min="5" max="5" width="16" hidden="0" customWidth="1"/>
    <x:col min="6" max="6" width="42" hidden="0" customWidth="1"/>
    <x:col min="7" max="7" width="22" hidden="0" customWidth="1"/>
  </x:cols>
  <x:sheetData>
    <x:row r="1" ht="34" customHeight="1">
      <x:c r="A1" s="6" t="str">
        <x:v>トップページ6領域とクイックリンク5件</x:v>
      </x:c>
      <x:c r="B1" s="6"/>
      <x:c r="C1" s="6"/>
      <x:c r="D1" s="6"/>
      <x:c r="E1" s="6"/>
      <x:c r="F1" s="6"/>
      <x:c r="G1" s="6"/>
    </x:row>
    <x:row r="2" ht="34" customHeight="1">
      <x:c r="A2" s="6"/>
      <x:c r="B2" s="6"/>
      <x:c r="C2" s="6"/>
      <x:c r="D2" s="6"/>
      <x:c r="E2" s="6"/>
      <x:c r="F2" s="6"/>
      <x:c r="G2" s="6"/>
    </x:row>
    <x:row r="4">
      <x:c r="A4" s="16" t="str">
        <x:v>順</x:v>
      </x:c>
      <x:c r="B4" s="16" t="str">
        <x:v>領域</x:v>
      </x:c>
      <x:c r="C4" s="16" t="str">
        <x:v>期待内容</x:v>
      </x:c>
      <x:c r="D4" s="16" t="str">
        <x:v>実際の内容</x:v>
      </x:c>
      <x:c r="E4" s="16" t="str">
        <x:v>判定</x:v>
      </x:c>
      <x:c r="F4" s="16" t="str">
        <x:v>修正内容</x:v>
      </x:c>
      <x:c r="G4" s="16" t="str">
        <x:v>再確認</x:v>
      </x:c>
    </x:row>
    <x:row r="5">
      <x:c r="A5" s="38" t="n">
        <x:v>1</x:v>
      </x:c>
      <x:c r="B5" s="38" t="str">
        <x:v>重要なお知らせ</x:v>
      </x:c>
      <x:c r="C5" s="38" t="str">
        <x:v>ニュース1件</x:v>
      </x:c>
      <x:c r="D5" s="28" t="str"/>
      <x:c r="E5" s="24" t="str">
        <x:v>未確認</x:v>
      </x:c>
      <x:c r="F5" s="28" t="str"/>
      <x:c r="G5" s="28" t="str"/>
    </x:row>
    <x:row r="6">
      <x:c r="A6" s="38" t="n">
        <x:v>2</x:v>
      </x:c>
      <x:c r="B6" s="38" t="str">
        <x:v>よく使う業務</x:v>
      </x:c>
      <x:c r="C6" s="38" t="str">
        <x:v>クイックリンク5件</x:v>
      </x:c>
      <x:c r="D6" s="28" t="str"/>
      <x:c r="E6" s="24" t="str">
        <x:v>未確認</x:v>
      </x:c>
      <x:c r="F6" s="28" t="str"/>
      <x:c r="G6" s="28" t="str"/>
    </x:row>
    <x:row r="7">
      <x:c r="A7" s="38" t="n">
        <x:v>3</x:v>
      </x:c>
      <x:c r="B7" s="38" t="str">
        <x:v>進行中案件</x:v>
      </x:c>
      <x:c r="C7" s="38" t="str">
        <x:v>P001・P002の2件</x:v>
      </x:c>
      <x:c r="D7" s="28" t="str"/>
      <x:c r="E7" s="24" t="str">
        <x:v>未確認</x:v>
      </x:c>
      <x:c r="F7" s="28" t="str"/>
      <x:c r="G7" s="28" t="str"/>
    </x:row>
    <x:row r="8">
      <x:c r="A8" s="38" t="n">
        <x:v>4</x:v>
      </x:c>
      <x:c r="B8" s="38" t="str">
        <x:v>最新の設計資料</x:v>
      </x:c>
      <x:c r="C8" s="38" t="str">
        <x:v>承認済み資料2件</x:v>
      </x:c>
      <x:c r="D8" s="28" t="str"/>
      <x:c r="E8" s="24" t="str">
        <x:v>未確認</x:v>
      </x:c>
      <x:c r="F8" s="28" t="str"/>
      <x:c r="G8" s="28" t="str"/>
    </x:row>
    <x:row r="9">
      <x:c r="A9" s="38" t="n">
        <x:v>5</x:v>
      </x:c>
      <x:c r="B9" s="38" t="str">
        <x:v>改善アイデア</x:v>
      </x:c>
      <x:c r="C9" s="38" t="str">
        <x:v>Forms回答用リンク</x:v>
      </x:c>
      <x:c r="D9" s="28" t="str"/>
      <x:c r="E9" s="24" t="str">
        <x:v>未確認</x:v>
      </x:c>
      <x:c r="F9" s="28" t="str"/>
      <x:c r="G9" s="28" t="str"/>
    </x:row>
    <x:row r="10">
      <x:c r="A10" s="38" t="n">
        <x:v>6</x:v>
      </x:c>
      <x:c r="B10" s="38" t="str">
        <x:v>利用方法・問い合わせ先</x:v>
      </x:c>
      <x:c r="C10" s="38" t="str">
        <x:v>説明と連絡先</x:v>
      </x:c>
      <x:c r="D10" s="28" t="str"/>
      <x:c r="E10" s="24" t="str">
        <x:v>未確認</x:v>
      </x:c>
      <x:c r="F10" s="28" t="str"/>
      <x:c r="G10" s="28" t="str"/>
    </x:row>
    <x:row r="12">
      <x:c r="A12" s="16" t="str">
        <x:v>No.</x:v>
      </x:c>
      <x:c r="B12" s="16" t="str">
        <x:v>クイックリンク</x:v>
      </x:c>
      <x:c r="C12" s="16" t="str">
        <x:v>期待する移動先</x:v>
      </x:c>
      <x:c r="D12" s="16" t="str">
        <x:v>実際の結果</x:v>
      </x:c>
      <x:c r="E12" s="16" t="str">
        <x:v>判定</x:v>
      </x:c>
      <x:c r="F12" s="16" t="str">
        <x:v>メモ</x:v>
      </x:c>
    </x:row>
    <x:row r="13">
      <x:c r="A13" s="38" t="n">
        <x:v>1</x:v>
      </x:c>
      <x:c r="B13" s="38" t="str">
        <x:v>設計資料を探す</x:v>
      </x:c>
      <x:c r="C13" s="38" t="str">
        <x:v>設計資料ライブラリ</x:v>
      </x:c>
      <x:c r="D13" s="28" t="str"/>
      <x:c r="E13" s="24" t="str">
        <x:v>未確認</x:v>
      </x:c>
      <x:c r="F13" s="28" t="str"/>
    </x:row>
    <x:row r="14">
      <x:c r="A14" s="38" t="n">
        <x:v>2</x:v>
      </x:c>
      <x:c r="B14" s="38" t="str">
        <x:v>業務マニュアルを確認する</x:v>
      </x:c>
      <x:c r="C14" s="38" t="str">
        <x:v>講師指定先</x:v>
      </x:c>
      <x:c r="D14" s="28" t="str"/>
      <x:c r="E14" s="24" t="str">
        <x:v>未確認</x:v>
      </x:c>
      <x:c r="F14" s="28" t="str"/>
    </x:row>
    <x:row r="15">
      <x:c r="A15" s="38" t="n">
        <x:v>3</x:v>
      </x:c>
      <x:c r="B15" s="38" t="str">
        <x:v>問い合わせ先を確認する</x:v>
      </x:c>
      <x:c r="C15" s="38" t="str">
        <x:v>問い合わせ先表示</x:v>
      </x:c>
      <x:c r="D15" s="28" t="str"/>
      <x:c r="E15" s="24" t="str">
        <x:v>未確認</x:v>
      </x:c>
      <x:c r="F15" s="28" t="str"/>
    </x:row>
    <x:row r="16">
      <x:c r="A16" s="38" t="n">
        <x:v>4</x:v>
      </x:c>
      <x:c r="B16" s="38" t="str">
        <x:v>案件進捗を見る</x:v>
      </x:c>
      <x:c r="C16" s="38" t="str">
        <x:v>案件進捗ページ</x:v>
      </x:c>
      <x:c r="D16" s="28" t="str"/>
      <x:c r="E16" s="24" t="str">
        <x:v>未確認</x:v>
      </x:c>
      <x:c r="F16" s="28" t="str"/>
    </x:row>
    <x:row r="17">
      <x:c r="A17" s="38" t="n">
        <x:v>5</x:v>
      </x:c>
      <x:c r="B17" s="38" t="str">
        <x:v>改善アイデアを投稿する</x:v>
      </x:c>
      <x:c r="C17" s="38" t="str">
        <x:v>Forms回答画面</x:v>
      </x:c>
      <x:c r="D17" s="28" t="str"/>
      <x:c r="E17" s="24" t="str">
        <x:v>未確認</x:v>
      </x:c>
      <x:c r="F17" s="28" t="str"/>
    </x:row>
  </x:sheetData>
  <x:mergeCells>
    <x:mergeCell ref="A1:G2"/>
  </x:mergeCells>
  <x:dataValidations count="2">
    <x:dataValidation type="list" sqref="E5:E10">
      <x:formula1>"未確認,OK,要修正,講師確認"</x:formula1>
    </x:dataValidation>
    <x:dataValidation type="list" sqref="E13:E17">
      <x:formula1>"未確認,OK,要修正,講師確認"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6" hidden="0" customWidth="1"/>
    <x:col min="3" max="3" width="24" hidden="0" customWidth="1"/>
    <x:col min="4" max="4" width="28" hidden="0" customWidth="1"/>
    <x:col min="5" max="5" width="16" hidden="0" customWidth="1"/>
    <x:col min="6" max="6" width="48" hidden="0" customWidth="1"/>
  </x:cols>
  <x:sheetData>
    <x:row r="1" ht="34" customHeight="1">
      <x:c r="A1" s="6" t="str">
        <x:v>最新の件数・設定確認</x:v>
      </x:c>
      <x:c r="B1" s="6"/>
      <x:c r="C1" s="6"/>
      <x:c r="D1" s="6"/>
      <x:c r="E1" s="6"/>
      <x:c r="F1" s="6"/>
    </x:row>
    <x:row r="2" ht="34" customHeight="1">
      <x:c r="A2" s="6"/>
      <x:c r="B2" s="6"/>
      <x:c r="C2" s="6"/>
      <x:c r="D2" s="6"/>
      <x:c r="E2" s="6"/>
      <x:c r="F2" s="6"/>
    </x:row>
    <x:row r="4">
      <x:c r="A4" s="16" t="str">
        <x:v>分類</x:v>
      </x:c>
      <x:c r="B4" s="16" t="str">
        <x:v>確認項目</x:v>
      </x:c>
      <x:c r="C4" s="16" t="str">
        <x:v>期待値</x:v>
      </x:c>
      <x:c r="D4" s="16" t="str">
        <x:v>実際の値</x:v>
      </x:c>
      <x:c r="E4" s="16" t="str">
        <x:v>判定</x:v>
      </x:c>
      <x:c r="F4" s="16" t="str">
        <x:v>メモ</x:v>
      </x:c>
    </x:row>
    <x:row r="5">
      <x:c r="A5" s="38" t="str">
        <x:v>案件</x:v>
      </x:c>
      <x:c r="B5" s="38" t="str">
        <x:v>列数</x:v>
      </x:c>
      <x:c r="C5" s="38" t="n">
        <x:v>6</x:v>
      </x:c>
      <x:c r="D5" s="28" t="str"/>
      <x:c r="E5" s="24" t="str">
        <x:v>未確認</x:v>
      </x:c>
      <x:c r="F5" s="28" t="str"/>
    </x:row>
    <x:row r="6">
      <x:c r="A6" s="38" t="str">
        <x:v>案件</x:v>
      </x:c>
      <x:c r="B6" s="38" t="str">
        <x:v>全件</x:v>
      </x:c>
      <x:c r="C6" s="38" t="n">
        <x:v>5</x:v>
      </x:c>
      <x:c r="D6" s="28" t="str"/>
      <x:c r="E6" s="24" t="str">
        <x:v>未確認</x:v>
      </x:c>
      <x:c r="F6" s="28" t="str"/>
    </x:row>
    <x:row r="7">
      <x:c r="A7" s="38" t="str">
        <x:v>案件</x:v>
      </x:c>
      <x:c r="B7" s="38" t="str">
        <x:v>未着手</x:v>
      </x:c>
      <x:c r="C7" s="38" t="n">
        <x:v>1</x:v>
      </x:c>
      <x:c r="D7" s="28" t="str"/>
      <x:c r="E7" s="24" t="str">
        <x:v>未確認</x:v>
      </x:c>
      <x:c r="F7" s="28" t="str"/>
    </x:row>
    <x:row r="8">
      <x:c r="A8" s="38" t="str">
        <x:v>案件</x:v>
      </x:c>
      <x:c r="B8" s="38" t="str">
        <x:v>進行中</x:v>
      </x:c>
      <x:c r="C8" s="38" t="n">
        <x:v>2</x:v>
      </x:c>
      <x:c r="D8" s="28" t="str"/>
      <x:c r="E8" s="24" t="str">
        <x:v>未確認</x:v>
      </x:c>
      <x:c r="F8" s="28" t="str"/>
    </x:row>
    <x:row r="9">
      <x:c r="A9" s="38" t="str">
        <x:v>案件</x:v>
      </x:c>
      <x:c r="B9" s="38" t="str">
        <x:v>確認待ち</x:v>
      </x:c>
      <x:c r="C9" s="38" t="n">
        <x:v>1</x:v>
      </x:c>
      <x:c r="D9" s="28" t="str"/>
      <x:c r="E9" s="24" t="str">
        <x:v>未確認</x:v>
      </x:c>
      <x:c r="F9" s="28" t="str"/>
    </x:row>
    <x:row r="10">
      <x:c r="A10" s="38" t="str">
        <x:v>案件</x:v>
      </x:c>
      <x:c r="B10" s="38" t="str">
        <x:v>完了</x:v>
      </x:c>
      <x:c r="C10" s="38" t="n">
        <x:v>1</x:v>
      </x:c>
      <x:c r="D10" s="28" t="str"/>
      <x:c r="E10" s="24" t="str">
        <x:v>未確認</x:v>
      </x:c>
      <x:c r="F10" s="28" t="str"/>
    </x:row>
    <x:row r="11">
      <x:c r="A11" s="38" t="str">
        <x:v>案件ビュー</x:v>
      </x:c>
      <x:c r="B11" s="38" t="str">
        <x:v>対応中案件</x:v>
      </x:c>
      <x:c r="C11" s="38" t="n">
        <x:v>4</x:v>
      </x:c>
      <x:c r="D11" s="28" t="str"/>
      <x:c r="E11" s="24" t="str">
        <x:v>未確認</x:v>
      </x:c>
      <x:c r="F11" s="28" t="str"/>
    </x:row>
    <x:row r="12">
      <x:c r="A12" s="38" t="str">
        <x:v>案件ビュー</x:v>
      </x:c>
      <x:c r="B12" s="38" t="str">
        <x:v>進行中案件</x:v>
      </x:c>
      <x:c r="C12" s="38" t="n">
        <x:v>2</x:v>
      </x:c>
      <x:c r="D12" s="28" t="str"/>
      <x:c r="E12" s="24" t="str">
        <x:v>未確認</x:v>
      </x:c>
      <x:c r="F12" s="28" t="str"/>
    </x:row>
    <x:row r="13">
      <x:c r="A13" s="38" t="str">
        <x:v>資料</x:v>
      </x:c>
      <x:c r="B13" s="38" t="str">
        <x:v>資料数</x:v>
      </x:c>
      <x:c r="C13" s="38" t="n">
        <x:v>4</x:v>
      </x:c>
      <x:c r="D13" s="28" t="str"/>
      <x:c r="E13" s="24" t="str">
        <x:v>未確認</x:v>
      </x:c>
      <x:c r="F13" s="28" t="str"/>
    </x:row>
    <x:row r="14">
      <x:c r="A14" s="38" t="str">
        <x:v>資料</x:v>
      </x:c>
      <x:c r="B14" s="38" t="str">
        <x:v>追加列数</x:v>
      </x:c>
      <x:c r="C14" s="38" t="n">
        <x:v>4</x:v>
      </x:c>
      <x:c r="D14" s="28" t="str"/>
      <x:c r="E14" s="24" t="str">
        <x:v>未確認</x:v>
      </x:c>
      <x:c r="F14" s="28" t="str"/>
    </x:row>
    <x:row r="15">
      <x:c r="A15" s="38" t="str">
        <x:v>資料</x:v>
      </x:c>
      <x:c r="B15" s="38" t="str">
        <x:v>レビュー中</x:v>
      </x:c>
      <x:c r="C15" s="38" t="n">
        <x:v>2</x:v>
      </x:c>
      <x:c r="D15" s="28" t="str"/>
      <x:c r="E15" s="24" t="str">
        <x:v>未確認</x:v>
      </x:c>
      <x:c r="F15" s="28" t="str"/>
    </x:row>
    <x:row r="16">
      <x:c r="A16" s="38" t="str">
        <x:v>資料</x:v>
      </x:c>
      <x:c r="B16" s="38" t="str">
        <x:v>承認済み</x:v>
      </x:c>
      <x:c r="C16" s="38" t="n">
        <x:v>2</x:v>
      </x:c>
      <x:c r="D16" s="28" t="str"/>
      <x:c r="E16" s="24" t="str">
        <x:v>未確認</x:v>
      </x:c>
      <x:c r="F16" s="28" t="str"/>
    </x:row>
    <x:row r="17">
      <x:c r="A17" s="38" t="str">
        <x:v>資料ビュー</x:v>
      </x:c>
      <x:c r="B17" s="38" t="str">
        <x:v>承認済み資料</x:v>
      </x:c>
      <x:c r="C17" s="38" t="n">
        <x:v>2</x:v>
      </x:c>
      <x:c r="D17" s="28" t="str"/>
      <x:c r="E17" s="24" t="str">
        <x:v>未確認</x:v>
      </x:c>
      <x:c r="F17" s="28" t="str"/>
    </x:row>
    <x:row r="18">
      <x:c r="A18" s="38" t="str">
        <x:v>Forms</x:v>
      </x:c>
      <x:c r="B18" s="38" t="str">
        <x:v>質問数</x:v>
      </x:c>
      <x:c r="C18" s="38" t="n">
        <x:v>4</x:v>
      </x:c>
      <x:c r="D18" s="28" t="str"/>
      <x:c r="E18" s="24" t="str">
        <x:v>未確認</x:v>
      </x:c>
      <x:c r="F18" s="28" t="str"/>
    </x:row>
    <x:row r="19">
      <x:c r="A19" s="38" t="str">
        <x:v>Forms</x:v>
      </x:c>
      <x:c r="B19" s="38" t="str">
        <x:v>必須質問数</x:v>
      </x:c>
      <x:c r="C19" s="38" t="n">
        <x:v>3</x:v>
      </x:c>
      <x:c r="D19" s="28" t="str"/>
      <x:c r="E19" s="24" t="str">
        <x:v>未確認</x:v>
      </x:c>
      <x:c r="F19" s="28" t="str"/>
    </x:row>
    <x:row r="20">
      <x:c r="A20" s="38" t="str">
        <x:v>Forms</x:v>
      </x:c>
      <x:c r="B20" s="38" t="str">
        <x:v>任意質問数</x:v>
      </x:c>
      <x:c r="C20" s="38" t="n">
        <x:v>1</x:v>
      </x:c>
      <x:c r="D20" s="28" t="str"/>
      <x:c r="E20" s="24" t="str">
        <x:v>未確認</x:v>
      </x:c>
      <x:c r="F20" s="28" t="str"/>
    </x:row>
    <x:row r="21">
      <x:c r="A21" s="38" t="str">
        <x:v>Forms</x:v>
      </x:c>
      <x:c r="B21" s="38" t="str">
        <x:v>回答数</x:v>
      </x:c>
      <x:c r="C21" s="38" t="n">
        <x:v>1</x:v>
      </x:c>
      <x:c r="D21" s="28" t="str"/>
      <x:c r="E21" s="24" t="str">
        <x:v>未確認</x:v>
      </x:c>
      <x:c r="F21" s="28" t="str"/>
    </x:row>
    <x:row r="22">
      <x:c r="A22" s="38" t="str">
        <x:v>Forms</x:v>
      </x:c>
      <x:c r="B22" s="38" t="str">
        <x:v>自動連携</x:v>
      </x:c>
      <x:c r="C22" s="38" t="str">
        <x:v>未設定</x:v>
      </x:c>
      <x:c r="D22" s="28" t="str"/>
      <x:c r="E22" s="24" t="str">
        <x:v>未確認</x:v>
      </x:c>
      <x:c r="F22" s="28" t="str"/>
    </x:row>
    <x:row r="23">
      <x:c r="A23" s="38" t="str">
        <x:v>Forms</x:v>
      </x:c>
      <x:c r="B23" s="38" t="str">
        <x:v>トップページのURL</x:v>
      </x:c>
      <x:c r="C23" s="38" t="str">
        <x:v>回答用URL</x:v>
      </x:c>
      <x:c r="D23" s="28" t="str"/>
      <x:c r="E23" s="24" t="str">
        <x:v>未確認</x:v>
      </x:c>
      <x:c r="F23" s="28" t="str"/>
    </x:row>
  </x:sheetData>
  <x:mergeCells>
    <x:mergeCell ref="A1:F2"/>
  </x:mergeCells>
  <x:dataValidations count="1">
    <x:dataValidation type="list" sqref="E5:E23">
      <x:formula1>"未確認,OK,要修正,講師確認"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46" hidden="0" customWidth="1"/>
    <x:col min="3" max="3" width="36" hidden="0" customWidth="1"/>
    <x:col min="4" max="4" width="16" hidden="0" customWidth="1"/>
    <x:col min="5" max="5" width="42" hidden="0" customWidth="1"/>
    <x:col min="6" max="6" width="28" hidden="0" customWidth="1"/>
  </x:cols>
  <x:sheetData>
    <x:row r="1" ht="34" customHeight="1">
      <x:c r="A1" s="6" t="str">
        <x:v>案件進捗ページとトップへ戻る導線</x:v>
      </x:c>
      <x:c r="B1" s="6"/>
      <x:c r="C1" s="6"/>
      <x:c r="D1" s="6"/>
      <x:c r="E1" s="6"/>
      <x:c r="F1" s="6"/>
    </x:row>
    <x:row r="2" ht="34" customHeight="1">
      <x:c r="A2" s="6"/>
      <x:c r="B2" s="6"/>
      <x:c r="C2" s="6"/>
      <x:c r="D2" s="6"/>
      <x:c r="E2" s="6"/>
      <x:c r="F2" s="6"/>
    </x:row>
    <x:row r="4">
      <x:c r="A4" s="16" t="str">
        <x:v>確認項目</x:v>
      </x:c>
      <x:c r="B4" s="16" t="str">
        <x:v>期待結果</x:v>
      </x:c>
      <x:c r="C4" s="16" t="str">
        <x:v>実際の結果</x:v>
      </x:c>
      <x:c r="D4" s="16" t="str">
        <x:v>判定</x:v>
      </x:c>
      <x:c r="E4" s="16" t="str">
        <x:v>修正内容</x:v>
      </x:c>
      <x:c r="F4" s="16" t="str">
        <x:v>再確認</x:v>
      </x:c>
    </x:row>
    <x:row r="5">
      <x:c r="A5" s="38" t="str">
        <x:v>ページ名</x:v>
      </x:c>
      <x:c r="B5" s="38" t="str">
        <x:v>案件進捗</x:v>
      </x:c>
      <x:c r="C5" s="28" t="str"/>
      <x:c r="D5" s="24" t="str">
        <x:v>未確認</x:v>
      </x:c>
      <x:c r="E5" s="28" t="str"/>
      <x:c r="F5" s="28" t="str"/>
    </x:row>
    <x:row r="6">
      <x:c r="A6" s="38" t="str">
        <x:v>ページの目的</x:v>
      </x:c>
      <x:c r="B6" s="38" t="str">
        <x:v>説明文あり</x:v>
      </x:c>
      <x:c r="C6" s="28" t="str"/>
      <x:c r="D6" s="24" t="str">
        <x:v>未確認</x:v>
      </x:c>
      <x:c r="E6" s="28" t="str"/>
      <x:c r="F6" s="28" t="str"/>
    </x:row>
    <x:row r="7">
      <x:c r="A7" s="38" t="str">
        <x:v>表示リスト</x:v>
      </x:c>
      <x:c r="B7" s="38" t="str">
        <x:v>案件・業務進捗</x:v>
      </x:c>
      <x:c r="C7" s="28" t="str"/>
      <x:c r="D7" s="24" t="str">
        <x:v>未確認</x:v>
      </x:c>
      <x:c r="E7" s="28" t="str"/>
      <x:c r="F7" s="28" t="str"/>
    </x:row>
    <x:row r="8">
      <x:c r="A8" s="38" t="str">
        <x:v>表示ビュー</x:v>
      </x:c>
      <x:c r="B8" s="38" t="str">
        <x:v>対応中案件</x:v>
      </x:c>
      <x:c r="C8" s="28" t="str"/>
      <x:c r="D8" s="24" t="str">
        <x:v>未確認</x:v>
      </x:c>
      <x:c r="E8" s="28" t="str"/>
      <x:c r="F8" s="28" t="str"/>
    </x:row>
    <x:row r="9">
      <x:c r="A9" s="38" t="str">
        <x:v>表示件数</x:v>
      </x:c>
      <x:c r="B9" s="38" t="str">
        <x:v>4件</x:v>
      </x:c>
      <x:c r="C9" s="28" t="str"/>
      <x:c r="D9" s="24" t="str">
        <x:v>未確認</x:v>
      </x:c>
      <x:c r="E9" s="28" t="str"/>
      <x:c r="F9" s="28" t="str"/>
    </x:row>
    <x:row r="10">
      <x:c r="A10" s="38" t="str">
        <x:v>戻るリンク</x:v>
      </x:c>
      <x:c r="B10" s="38" t="str">
        <x:v>設計部業務ポータルへ戻る</x:v>
      </x:c>
      <x:c r="C10" s="28" t="str"/>
      <x:c r="D10" s="24" t="str">
        <x:v>未確認</x:v>
      </x:c>
      <x:c r="E10" s="28" t="str"/>
      <x:c r="F10" s="28" t="str"/>
    </x:row>
    <x:row r="11">
      <x:c r="A11" s="38" t="str">
        <x:v>問い合わせ先</x:v>
      </x:c>
      <x:c r="B11" s="38" t="str">
        <x:v>表示あり</x:v>
      </x:c>
      <x:c r="C11" s="28" t="str"/>
      <x:c r="D11" s="24" t="str">
        <x:v>未確認</x:v>
      </x:c>
      <x:c r="E11" s="28" t="str"/>
      <x:c r="F11" s="28" t="str"/>
    </x:row>
    <x:row r="12">
      <x:c r="A12" s="38" t="str">
        <x:v>公開状態</x:v>
      </x:c>
      <x:c r="B12" s="38" t="str">
        <x:v>下書き</x:v>
      </x:c>
      <x:c r="C12" s="28" t="str"/>
      <x:c r="D12" s="24" t="str">
        <x:v>未確認</x:v>
      </x:c>
      <x:c r="E12" s="28" t="str"/>
      <x:c r="F12" s="28" t="str"/>
    </x:row>
    <x:row r="14">
      <x:c r="A14" s="43" t="str">
        <x:v>案件や列が不一致でも、この章では作り直しません。ビュー・リンク・説明文だけを確認します。</x:v>
      </x:c>
      <x:c r="B14" s="43"/>
      <x:c r="C14" s="43"/>
      <x:c r="D14" s="43"/>
      <x:c r="E14" s="43"/>
      <x:c r="F14" s="43"/>
    </x:row>
    <x:row r="15">
      <x:c r="A15" s="43"/>
      <x:c r="B15" s="43"/>
      <x:c r="C15" s="43"/>
      <x:c r="D15" s="43"/>
      <x:c r="E15" s="43"/>
      <x:c r="F15" s="43"/>
    </x:row>
    <x:row r="16">
      <x:c r="A16" s="43"/>
      <x:c r="B16" s="43"/>
      <x:c r="C16" s="43"/>
      <x:c r="D16" s="43"/>
      <x:c r="E16" s="43"/>
      <x:c r="F16" s="43"/>
    </x:row>
  </x:sheetData>
  <x:mergeCells>
    <x:mergeCell ref="A1:F2"/>
    <x:mergeCell ref="A14:F16"/>
  </x:mergeCells>
  <x:dataValidations count="1">
    <x:dataValidation type="list" sqref="D5:D12">
      <x:formula1>"未確認,OK,要修正,講師確認"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22" hidden="0" customWidth="1"/>
    <x:col min="3" max="3" width="28" hidden="0" customWidth="1"/>
    <x:col min="4" max="4" width="16" hidden="0" customWidth="1"/>
    <x:col min="5" max="5" width="48" hidden="0" customWidth="1"/>
    <x:col min="6" max="6" width="42" hidden="0" customWidth="1"/>
  </x:cols>
  <x:sheetData>
    <x:row r="1" ht="34" customHeight="1">
      <x:c r="A1" s="6" t="str">
        <x:v>第六章の権限・運用要約</x:v>
      </x:c>
      <x:c r="B1" s="6"/>
      <x:c r="C1" s="6"/>
      <x:c r="D1" s="6"/>
      <x:c r="E1" s="6"/>
      <x:c r="F1" s="6"/>
    </x:row>
    <x:row r="2" ht="34" customHeight="1">
      <x:c r="A2" s="6"/>
      <x:c r="B2" s="6"/>
      <x:c r="C2" s="6"/>
      <x:c r="D2" s="6"/>
      <x:c r="E2" s="6"/>
      <x:c r="F2" s="6"/>
    </x:row>
    <x:row r="4">
      <x:c r="A4" s="16" t="str">
        <x:v>確認項目</x:v>
      </x:c>
      <x:c r="B4" s="16" t="str">
        <x:v>期待値</x:v>
      </x:c>
      <x:c r="C4" s="16" t="str">
        <x:v>実際の値</x:v>
      </x:c>
      <x:c r="D4" s="16" t="str">
        <x:v>判定</x:v>
      </x:c>
      <x:c r="E4" s="16" t="str">
        <x:v>確認内容</x:v>
      </x:c>
      <x:c r="F4" s="16" t="str">
        <x:v>メモ</x:v>
      </x:c>
    </x:row>
    <x:row r="5">
      <x:c r="A5" s="38" t="str">
        <x:v>権限の基本役割</x:v>
      </x:c>
      <x:c r="B5" s="38" t="n">
        <x:v>3</x:v>
      </x:c>
      <x:c r="C5" s="28" t="str"/>
      <x:c r="D5" s="24" t="str">
        <x:v>未確認</x:v>
      </x:c>
      <x:c r="E5" s="38" t="str">
        <x:v>所有者・更新者・閲覧者</x:v>
      </x:c>
      <x:c r="F5" s="28" t="str"/>
    </x:row>
    <x:row r="6">
      <x:c r="A6" s="38" t="str">
        <x:v>所有者想定人数</x:v>
      </x:c>
      <x:c r="B6" s="38" t="str">
        <x:v>2名以上</x:v>
      </x:c>
      <x:c r="C6" s="28" t="str"/>
      <x:c r="D6" s="24" t="str">
        <x:v>未確認</x:v>
      </x:c>
      <x:c r="E6" s="38" t="str">
        <x:v>一人だけにしない</x:v>
      </x:c>
      <x:c r="F6" s="28" t="str"/>
    </x:row>
    <x:row r="7">
      <x:c r="A7" s="38" t="str">
        <x:v>全員所有者</x:v>
      </x:c>
      <x:c r="B7" s="38" t="str">
        <x:v>いいえ</x:v>
      </x:c>
      <x:c r="C7" s="28" t="str"/>
      <x:c r="D7" s="24" t="str">
        <x:v>未確認</x:v>
      </x:c>
      <x:c r="E7" s="38" t="str">
        <x:v>最小権限</x:v>
      </x:c>
      <x:c r="F7" s="28" t="str"/>
    </x:row>
    <x:row r="8">
      <x:c r="A8" s="38" t="str">
        <x:v>権限設計対象</x:v>
      </x:c>
      <x:c r="B8" s="38" t="n">
        <x:v>6</x:v>
      </x:c>
      <x:c r="C8" s="28" t="str"/>
      <x:c r="D8" s="24" t="str">
        <x:v>未確認</x:v>
      </x:c>
      <x:c r="E8" s="38" t="str">
        <x:v>標準案を確認</x:v>
      </x:c>
      <x:c r="F8" s="28" t="str"/>
    </x:row>
    <x:row r="9">
      <x:c r="A9" s="38" t="str">
        <x:v>更新対象</x:v>
      </x:c>
      <x:c r="B9" s="38" t="n">
        <x:v>6</x:v>
      </x:c>
      <x:c r="C9" s="28" t="str"/>
      <x:c r="D9" s="24" t="str">
        <x:v>未確認</x:v>
      </x:c>
      <x:c r="E9" s="38" t="str">
        <x:v>主担当・副担当・確認者</x:v>
      </x:c>
      <x:c r="F9" s="28" t="str"/>
    </x:row>
    <x:row r="10">
      <x:c r="A10" s="38" t="str">
        <x:v>権限変更手順</x:v>
      </x:c>
      <x:c r="B10" s="38" t="n">
        <x:v>5</x:v>
      </x:c>
      <x:c r="C10" s="28" t="str"/>
      <x:c r="D10" s="24" t="str">
        <x:v>未確認</x:v>
      </x:c>
      <x:c r="E10" s="38" t="str">
        <x:v>申請から履歴記録</x:v>
      </x:c>
      <x:c r="F10" s="28" t="str"/>
    </x:row>
    <x:row r="11">
      <x:c r="A11" s="38" t="str">
        <x:v>異動・退職確認</x:v>
      </x:c>
      <x:c r="B11" s="38" t="n">
        <x:v>6</x:v>
      </x:c>
      <x:c r="C11" s="28" t="str"/>
      <x:c r="D11" s="24" t="str">
        <x:v>未確認</x:v>
      </x:c>
      <x:c r="E11" s="38" t="str">
        <x:v>グループ・後任・履歴</x:v>
      </x:c>
      <x:c r="F11" s="28" t="str"/>
    </x:row>
    <x:row r="12">
      <x:c r="A12" s="38" t="str">
        <x:v>運用要約</x:v>
      </x:c>
      <x:c r="B12" s="38" t="n">
        <x:v>8</x:v>
      </x:c>
      <x:c r="C12" s="28" t="str"/>
      <x:c r="D12" s="24" t="str">
        <x:v>未確認</x:v>
      </x:c>
      <x:c r="E12" s="38" t="str">
        <x:v>問い合わせ・未決事項を含む</x:v>
      </x:c>
      <x:c r="F12" s="28" t="str"/>
    </x:row>
    <x:row r="13">
      <x:c r="A13" s="38" t="str">
        <x:v>シナリオ確認</x:v>
      </x:c>
      <x:c r="B13" s="38" t="n">
        <x:v>3</x:v>
      </x:c>
      <x:c r="C13" s="28" t="str"/>
      <x:c r="D13" s="24" t="str">
        <x:v>未確認</x:v>
      </x:c>
      <x:c r="E13" s="38" t="str">
        <x:v>権限依頼・異動・誤公開</x:v>
      </x:c>
      <x:c r="F13" s="28" t="str"/>
    </x:row>
    <x:row r="14">
      <x:c r="A14" s="38" t="str">
        <x:v>実際の権限変更</x:v>
      </x:c>
      <x:c r="B14" s="38" t="n">
        <x:v>0</x:v>
      </x:c>
      <x:c r="C14" s="28" t="str"/>
      <x:c r="D14" s="24" t="str">
        <x:v>未確認</x:v>
      </x:c>
      <x:c r="E14" s="38" t="str">
        <x:v>本章でも変更しない</x:v>
      </x:c>
      <x:c r="F14" s="28" t="str"/>
    </x:row>
  </x:sheetData>
  <x:mergeCells>
    <x:mergeCell ref="A1:F2"/>
  </x:mergeCells>
  <x:dataValidations count="1">
    <x:dataValidation type="list" sqref="D5:D14">
      <x:formula1>"未確認,OK,要修正,講師確認"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8" hidden="0" customWidth="1"/>
    <x:col min="3" max="3" width="42" hidden="0" customWidth="1"/>
    <x:col min="4" max="4" width="42" hidden="0" customWidth="1"/>
    <x:col min="5" max="5" width="36" hidden="0" customWidth="1"/>
    <x:col min="6" max="6" width="18" hidden="0" customWidth="1"/>
    <x:col min="7" max="7" width="44" hidden="0" customWidth="1"/>
  </x:cols>
  <x:sheetData>
    <x:row r="1" ht="34" customHeight="1">
      <x:c r="A1" s="6" t="str">
        <x:v>主要導線6件の動作確認</x:v>
      </x:c>
      <x:c r="B1" s="6"/>
      <x:c r="C1" s="6"/>
      <x:c r="D1" s="6"/>
      <x:c r="E1" s="6"/>
      <x:c r="F1" s="6"/>
      <x:c r="G1" s="6"/>
    </x:row>
    <x:row r="2" ht="34" customHeight="1">
      <x:c r="A2" s="6"/>
      <x:c r="B2" s="6"/>
      <x:c r="C2" s="6"/>
      <x:c r="D2" s="6"/>
      <x:c r="E2" s="6"/>
      <x:c r="F2" s="6"/>
      <x:c r="G2" s="6"/>
    </x:row>
    <x:row r="4">
      <x:c r="A4" s="16" t="str">
        <x:v>No.</x:v>
      </x:c>
      <x:c r="B4" s="16" t="str">
        <x:v>開始位置</x:v>
      </x:c>
      <x:c r="C4" s="16" t="str">
        <x:v>操作</x:v>
      </x:c>
      <x:c r="D4" s="16" t="str">
        <x:v>期待結果</x:v>
      </x:c>
      <x:c r="E4" s="16" t="str">
        <x:v>実際の結果</x:v>
      </x:c>
      <x:c r="F4" s="16" t="str">
        <x:v>判定</x:v>
      </x:c>
      <x:c r="G4" s="16" t="str">
        <x:v>メモ</x:v>
      </x:c>
    </x:row>
    <x:row r="5">
      <x:c r="A5" s="38" t="n">
        <x:v>1</x:v>
      </x:c>
      <x:c r="B5" s="38" t="str">
        <x:v>トップページ</x:v>
      </x:c>
      <x:c r="C5" s="38" t="str">
        <x:v>ページを開く</x:v>
      </x:c>
      <x:c r="D5" s="38" t="str">
        <x:v>6領域を確認</x:v>
      </x:c>
      <x:c r="E5" s="28" t="str"/>
      <x:c r="F5" s="24" t="str">
        <x:v>未確認</x:v>
      </x:c>
      <x:c r="G5" s="28" t="str"/>
    </x:row>
    <x:row r="6">
      <x:c r="A6" s="38" t="n">
        <x:v>2</x:v>
      </x:c>
      <x:c r="B6" s="38" t="str">
        <x:v>トップページ</x:v>
      </x:c>
      <x:c r="C6" s="38" t="str">
        <x:v>重要なお知らせを確認</x:v>
      </x:c>
      <x:c r="D6" s="38" t="str">
        <x:v>ニュース本文を確認</x:v>
      </x:c>
      <x:c r="E6" s="28" t="str"/>
      <x:c r="F6" s="24" t="str">
        <x:v>未確認</x:v>
      </x:c>
      <x:c r="G6" s="28" t="str"/>
    </x:row>
    <x:row r="7">
      <x:c r="A7" s="38" t="n">
        <x:v>3</x:v>
      </x:c>
      <x:c r="B7" s="38" t="str">
        <x:v>トップページ</x:v>
      </x:c>
      <x:c r="C7" s="38" t="str">
        <x:v>案件進捗を見る</x:v>
      </x:c>
      <x:c r="D7" s="38" t="str">
        <x:v>案件進捗ページを開く</x:v>
      </x:c>
      <x:c r="E7" s="28" t="str"/>
      <x:c r="F7" s="24" t="str">
        <x:v>未確認</x:v>
      </x:c>
      <x:c r="G7" s="28" t="str"/>
    </x:row>
    <x:row r="8">
      <x:c r="A8" s="38" t="n">
        <x:v>4</x:v>
      </x:c>
      <x:c r="B8" s="38" t="str">
        <x:v>案件進捗ページ</x:v>
      </x:c>
      <x:c r="C8" s="38" t="str">
        <x:v>設計部業務ポータルへ戻る</x:v>
      </x:c>
      <x:c r="D8" s="38" t="str">
        <x:v>トップページへ戻る</x:v>
      </x:c>
      <x:c r="E8" s="28" t="str"/>
      <x:c r="F8" s="24" t="str">
        <x:v>未確認</x:v>
      </x:c>
      <x:c r="G8" s="28" t="str"/>
    </x:row>
    <x:row r="9">
      <x:c r="A9" s="38" t="n">
        <x:v>5</x:v>
      </x:c>
      <x:c r="B9" s="38" t="str">
        <x:v>トップページ</x:v>
      </x:c>
      <x:c r="C9" s="38" t="str">
        <x:v>設計資料を探す</x:v>
      </x:c>
      <x:c r="D9" s="38" t="str">
        <x:v>承認済み資料を確認</x:v>
      </x:c>
      <x:c r="E9" s="28" t="str"/>
      <x:c r="F9" s="24" t="str">
        <x:v>未確認</x:v>
      </x:c>
      <x:c r="G9" s="28" t="str"/>
    </x:row>
    <x:row r="10">
      <x:c r="A10" s="38" t="n">
        <x:v>6</x:v>
      </x:c>
      <x:c r="B10" s="38" t="str">
        <x:v>トップページ</x:v>
      </x:c>
      <x:c r="C10" s="38" t="str">
        <x:v>改善アイデアを投稿する</x:v>
      </x:c>
      <x:c r="D10" s="38" t="str">
        <x:v>Forms回答画面を開く</x:v>
      </x:c>
      <x:c r="E10" s="28" t="str"/>
      <x:c r="F10" s="24" t="str">
        <x:v>未確認</x:v>
      </x:c>
      <x:c r="G10" s="28" t="str"/>
    </x:row>
    <x:row r="12">
      <x:c r="A12" s="16" t="str">
        <x:v>確認集計</x:v>
      </x:c>
      <x:c r="B12" s="16" t="str">
        <x:v>件数</x:v>
      </x:c>
      <x:c r="C12" s="16" t="str">
        <x:v>期待</x:v>
      </x:c>
    </x:row>
    <x:row r="13">
      <x:c r="A13" s="51" t="str">
        <x:v>動作確認件数</x:v>
      </x:c>
      <x:c r="B13" s="51" t="n">
        <x:f>COUNTA(A5:A10)</x:f>
        <x:v>6</x:v>
      </x:c>
      <x:c r="C13" s="51" t="n">
        <x:v>6</x:v>
      </x:c>
    </x:row>
    <x:row r="14">
      <x:c r="A14" s="51" t="str">
        <x:v>OK件数</x:v>
      </x:c>
      <x:c r="B14" s="51" t="n">
        <x:f>COUNTIF(F5:F10,"OK")</x:f>
        <x:v>0</x:v>
      </x:c>
      <x:c r="C14" s="51" t="n">
        <x:v>6</x:v>
      </x:c>
    </x:row>
    <x:row r="15">
      <x:c r="A15" s="51" t="str">
        <x:v>要修正件数</x:v>
      </x:c>
      <x:c r="B15" s="51" t="n">
        <x:f>COUNTIF(F5:F10,"要修正")</x:f>
        <x:v>0</x:v>
      </x:c>
      <x:c r="C15" s="51" t="n">
        <x:v>0</x:v>
      </x:c>
    </x:row>
    <x:row r="16">
      <x:c r="A16" s="51" t="str">
        <x:v>講師確認済み件数</x:v>
      </x:c>
      <x:c r="B16" s="51" t="n">
        <x:f>COUNTIF(F5:F10,"講師確認済み")</x:f>
        <x:v>0</x:v>
      </x:c>
      <x:c r="C16" s="51" t="str">
        <x:v>0以上でも可</x:v>
      </x:c>
    </x:row>
  </x:sheetData>
  <x:mergeCells>
    <x:mergeCell ref="A1:G2"/>
  </x:mergeCells>
  <x:dataValidations count="1">
    <x:dataValidation type="list" sqref="F5:F10">
      <x:formula1>"未確認,OK,要修正,講師確認済み"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32" hidden="0" customWidth="1"/>
    <x:col min="3" max="3" width="42" hidden="0" customWidth="1"/>
    <x:col min="4" max="4" width="34" hidden="0" customWidth="1"/>
    <x:col min="5" max="5" width="44" hidden="0" customWidth="1"/>
    <x:col min="6" max="6" width="42" hidden="0" customWidth="1"/>
    <x:col min="7" max="7" width="18" hidden="0" customWidth="1"/>
    <x:col min="8" max="8" width="18" hidden="0" customWidth="1"/>
  </x:cols>
  <x:sheetData>
    <x:row r="1" ht="34" customHeight="1">
      <x:c r="A1" s="6" t="str">
        <x:v>要修正3件までの記録</x:v>
      </x:c>
      <x:c r="B1" s="6"/>
      <x:c r="C1" s="6"/>
      <x:c r="D1" s="6"/>
      <x:c r="E1" s="6"/>
      <x:c r="F1" s="6"/>
      <x:c r="G1" s="6"/>
      <x:c r="H1" s="6"/>
    </x:row>
    <x:row r="2" ht="34" customHeight="1">
      <x:c r="A2" s="6"/>
      <x:c r="B2" s="6"/>
      <x:c r="C2" s="6"/>
      <x:c r="D2" s="6"/>
      <x:c r="E2" s="6"/>
      <x:c r="F2" s="6"/>
      <x:c r="G2" s="6"/>
      <x:c r="H2" s="6"/>
    </x:row>
    <x:row r="4">
      <x:c r="A4" s="16" t="str">
        <x:v>No.</x:v>
      </x:c>
      <x:c r="B4" s="16" t="str">
        <x:v>発見場所</x:v>
      </x:c>
      <x:c r="C4" s="16" t="str">
        <x:v>問題</x:v>
      </x:c>
      <x:c r="D4" s="16" t="str">
        <x:v>原因</x:v>
      </x:c>
      <x:c r="E4" s="16" t="str">
        <x:v>修正・対応</x:v>
      </x:c>
      <x:c r="F4" s="16" t="str">
        <x:v>再確認操作</x:v>
      </x:c>
      <x:c r="G4" s="16" t="str">
        <x:v>結果</x:v>
      </x:c>
      <x:c r="H4" s="16" t="str">
        <x:v>講師確認</x:v>
      </x:c>
    </x:row>
    <x:row r="5">
      <x:c r="A5" s="24" t="n">
        <x:v>1</x:v>
      </x:c>
      <x:c r="B5" s="28" t="str"/>
      <x:c r="C5" s="28" t="str"/>
      <x:c r="D5" s="28" t="str"/>
      <x:c r="E5" s="28" t="str"/>
      <x:c r="F5" s="28" t="str"/>
      <x:c r="G5" s="24" t="str">
        <x:v>未確認</x:v>
      </x:c>
      <x:c r="H5" s="28" t="str"/>
    </x:row>
    <x:row r="6">
      <x:c r="A6" s="24" t="n">
        <x:v>2</x:v>
      </x:c>
      <x:c r="B6" s="28" t="str"/>
      <x:c r="C6" s="28" t="str"/>
      <x:c r="D6" s="28" t="str"/>
      <x:c r="E6" s="28" t="str"/>
      <x:c r="F6" s="28" t="str"/>
      <x:c r="G6" s="24" t="str">
        <x:v>未確認</x:v>
      </x:c>
      <x:c r="H6" s="28" t="str"/>
    </x:row>
    <x:row r="7">
      <x:c r="A7" s="24" t="n">
        <x:v>3</x:v>
      </x:c>
      <x:c r="B7" s="28" t="str"/>
      <x:c r="C7" s="28" t="str"/>
      <x:c r="D7" s="28" t="str"/>
      <x:c r="E7" s="28" t="str"/>
      <x:c r="F7" s="28" t="str"/>
      <x:c r="G7" s="24" t="str">
        <x:v>未確認</x:v>
      </x:c>
      <x:c r="H7" s="28" t="str"/>
    </x:row>
    <x:row r="9">
      <x:c r="A9" s="33" t="str">
        <x:v>問題が0件の場合：発見場所「全体」／問題「問題なし」／対応「変更なし」／再確認「主要導線6件」／結果「問題なし」と記録します。</x:v>
      </x:c>
      <x:c r="B9" s="33"/>
      <x:c r="C9" s="33"/>
      <x:c r="D9" s="33"/>
      <x:c r="E9" s="33"/>
      <x:c r="F9" s="33"/>
      <x:c r="G9" s="33"/>
      <x:c r="H9" s="33"/>
    </x:row>
    <x:row r="10">
      <x:c r="A10" s="33"/>
      <x:c r="B10" s="33"/>
      <x:c r="C10" s="33"/>
      <x:c r="D10" s="33"/>
      <x:c r="E10" s="33"/>
      <x:c r="F10" s="33"/>
      <x:c r="G10" s="33"/>
      <x:c r="H10" s="33"/>
    </x:row>
    <x:row r="11">
      <x:c r="A11" s="33"/>
      <x:c r="B11" s="33"/>
      <x:c r="C11" s="33"/>
      <x:c r="D11" s="33"/>
      <x:c r="E11" s="33"/>
      <x:c r="F11" s="33"/>
      <x:c r="G11" s="33"/>
      <x:c r="H11" s="33"/>
    </x:row>
    <x:row r="13">
      <x:c r="A13" s="16" t="str">
        <x:v>集計</x:v>
      </x:c>
      <x:c r="B13" s="16" t="str">
        <x:v>件数</x:v>
      </x:c>
      <x:c r="C13" s="16" t="str">
        <x:v>期待</x:v>
      </x:c>
    </x:row>
    <x:row r="14">
      <x:c r="A14" s="51" t="str">
        <x:v>記録件数</x:v>
      </x:c>
      <x:c r="B14" s="51" t="n">
        <x:f>COUNTIF(B5:B7,"&lt;&gt;")</x:f>
        <x:v>3</x:v>
      </x:c>
      <x:c r="C14" s="51" t="str">
        <x:v>1〜3</x:v>
      </x:c>
    </x:row>
    <x:row r="15">
      <x:c r="A15" s="51" t="str">
        <x:v>OK・問題なし</x:v>
      </x:c>
      <x:c r="B15" s="51" t="n">
        <x:f>COUNTIF(G5:G7,"OK")+COUNTIF(G5:G7,"問題なし")</x:f>
        <x:v>0</x:v>
      </x:c>
      <x:c r="C15" s="51" t="str">
        <x:v>記録件数と一致</x:v>
      </x:c>
    </x:row>
    <x:row r="16">
      <x:c r="A16" s="51" t="str">
        <x:v>未解決</x:v>
      </x:c>
      <x:c r="B16" s="51" t="n">
        <x:f>COUNTIF(G5:G7,"未解決")</x:f>
        <x:v>0</x:v>
      </x:c>
      <x:c r="C16" s="51" t="n">
        <x:v>0</x:v>
      </x:c>
    </x:row>
    <x:row r="17">
      <x:c r="A17" s="51" t="str">
        <x:v>講師確認必要</x:v>
      </x:c>
      <x:c r="B17" s="51" t="n">
        <x:f>COUNTIF(H5:H7,"必要")</x:f>
        <x:v>0</x:v>
      </x:c>
      <x:c r="C17" s="51" t="str">
        <x:v>0以上でも可</x:v>
      </x:c>
    </x:row>
  </x:sheetData>
  <x:mergeCells>
    <x:mergeCell ref="A1:H2"/>
    <x:mergeCell ref="A9:H11"/>
  </x:mergeCells>
  <x:dataValidations count="2">
    <x:dataValidation type="list" sqref="G5:G7">
      <x:formula1>"未確認,OK,未解決,問題なし"</x:formula1>
    </x:dataValidation>
    <x:dataValidation type="list" sqref="H5:H7">
      <x:formula1>"不要,必要,確認済み"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50" hidden="0" customWidth="1"/>
    <x:col min="2" max="2" width="68" hidden="0" customWidth="1"/>
    <x:col min="3" max="3" width="56" hidden="0" customWidth="1"/>
    <x:col min="4" max="4" width="28" hidden="0" customWidth="1"/>
  </x:cols>
  <x:sheetData>
    <x:row r="1" ht="34" customHeight="1">
      <x:c r="A1" s="6" t="str">
        <x:v>理解確認・完成記録</x:v>
      </x:c>
      <x:c r="B1" s="6"/>
      <x:c r="C1" s="6"/>
      <x:c r="D1" s="6"/>
    </x:row>
    <x:row r="2" ht="34" customHeight="1">
      <x:c r="A2" s="6"/>
      <x:c r="B2" s="6"/>
      <x:c r="C2" s="6"/>
      <x:c r="D2" s="6"/>
    </x:row>
    <x:row r="4">
      <x:c r="A4" s="16" t="str">
        <x:v>No.</x:v>
      </x:c>
      <x:c r="B4" s="16" t="str">
        <x:v>理解確認</x:v>
      </x:c>
      <x:c r="C4" s="16" t="str">
        <x:v>回答</x:v>
      </x:c>
      <x:c r="D4" s="16" t="str">
        <x:v>目安</x:v>
      </x:c>
    </x:row>
    <x:row r="5">
      <x:c r="A5" s="24" t="n">
        <x:v>1</x:v>
      </x:c>
      <x:c r="B5" s="24" t="str">
        <x:v>新機能追加より確認・修正を優先する理由</x:v>
      </x:c>
      <x:c r="C5" s="28" t="str"/>
      <x:c r="D5" s="24" t="str">
        <x:v>1〜2文</x:v>
      </x:c>
    </x:row>
    <x:row r="6">
      <x:c r="A6" s="24" t="n">
        <x:v>2</x:v>
      </x:c>
      <x:c r="B6" s="24" t="str">
        <x:v>トップページと詳細ページを分ける理由</x:v>
      </x:c>
      <x:c r="C6" s="28" t="str"/>
      <x:c r="D6" s="24" t="str">
        <x:v>1〜2文</x:v>
      </x:c>
    </x:row>
    <x:row r="7">
      <x:c r="A7" s="24" t="n">
        <x:v>3</x:v>
      </x:c>
      <x:c r="B7" s="24" t="str">
        <x:v>Lists・ライブラリのビューを表示する理由</x:v>
      </x:c>
      <x:c r="C7" s="28" t="str"/>
      <x:c r="D7" s="24" t="str">
        <x:v>1〜2文</x:v>
      </x:c>
    </x:row>
    <x:row r="8">
      <x:c r="A8" s="24" t="n">
        <x:v>4</x:v>
      </x:c>
      <x:c r="B8" s="24" t="str">
        <x:v>Forms回答用URLを使う理由</x:v>
      </x:c>
      <x:c r="C8" s="28" t="str"/>
      <x:c r="D8" s="24" t="str">
        <x:v>1〜2文</x:v>
      </x:c>
    </x:row>
    <x:row r="9">
      <x:c r="A9" s="24" t="n">
        <x:v>5</x:v>
      </x:c>
      <x:c r="B9" s="24" t="str">
        <x:v>修正後に同じ操作を再確認する理由</x:v>
      </x:c>
      <x:c r="C9" s="28" t="str"/>
      <x:c r="D9" s="24" t="str">
        <x:v>1〜2文</x:v>
      </x:c>
    </x:row>
    <x:row r="11">
      <x:c r="A11" s="16" t="str">
        <x:v>完成記録</x:v>
      </x:c>
      <x:c r="B11" s="16" t="str">
        <x:v>記入・選択</x:v>
      </x:c>
      <x:c r="C11" s="16" t="str">
        <x:v>期待</x:v>
      </x:c>
      <x:c r="D11" s="16" t="str">
        <x:v>補足</x:v>
      </x:c>
    </x:row>
    <x:row r="12">
      <x:c r="A12" s="24" t="str">
        <x:v>研修用サイト名</x:v>
      </x:c>
      <x:c r="B12" s="28" t="str"/>
      <x:c r="C12" s="24" t="str">
        <x:v>講師指定サイト</x:v>
      </x:c>
      <x:c r="D12" s="24" t="str"/>
    </x:row>
    <x:row r="13">
      <x:c r="A13" s="24" t="str">
        <x:v>トップページURL</x:v>
      </x:c>
      <x:c r="B13" s="28" t="str"/>
      <x:c r="C13" s="24" t="str">
        <x:v>記録済み</x:v>
      </x:c>
      <x:c r="D13" s="24" t="str"/>
    </x:row>
    <x:row r="14">
      <x:c r="A14" s="24" t="str">
        <x:v>案件進捗ページURL</x:v>
      </x:c>
      <x:c r="B14" s="28" t="str"/>
      <x:c r="C14" s="24" t="str">
        <x:v>記録済み</x:v>
      </x:c>
      <x:c r="D14" s="24" t="str"/>
    </x:row>
    <x:row r="15">
      <x:c r="A15" s="24" t="str">
        <x:v>案件リストURL</x:v>
      </x:c>
      <x:c r="B15" s="28" t="str"/>
      <x:c r="C15" s="24" t="str">
        <x:v>記録済み</x:v>
      </x:c>
      <x:c r="D15" s="24" t="str"/>
    </x:row>
    <x:row r="16">
      <x:c r="A16" s="24" t="str">
        <x:v>資料ライブラリURL</x:v>
      </x:c>
      <x:c r="B16" s="28" t="str"/>
      <x:c r="C16" s="24" t="str">
        <x:v>記録済み</x:v>
      </x:c>
      <x:c r="D16" s="24" t="str"/>
    </x:row>
    <x:row r="17">
      <x:c r="A17" s="24" t="str">
        <x:v>Forms回答URL</x:v>
      </x:c>
      <x:c r="B17" s="28" t="str"/>
      <x:c r="C17" s="24" t="str">
        <x:v>記録済み</x:v>
      </x:c>
      <x:c r="D17" s="24" t="str"/>
    </x:row>
    <x:row r="18">
      <x:c r="A18" s="24" t="str">
        <x:v>トップページ主要領域数</x:v>
      </x:c>
      <x:c r="B18" s="28" t="str"/>
      <x:c r="C18" s="24" t="n">
        <x:v>6</x:v>
      </x:c>
      <x:c r="D18" s="24" t="str"/>
    </x:row>
    <x:row r="19">
      <x:c r="A19" s="24" t="str">
        <x:v>クイックリンク数</x:v>
      </x:c>
      <x:c r="B19" s="28" t="str"/>
      <x:c r="C19" s="24" t="n">
        <x:v>5</x:v>
      </x:c>
      <x:c r="D19" s="24" t="str"/>
    </x:row>
    <x:row r="20">
      <x:c r="A20" s="24" t="str">
        <x:v>進行中案件表示数</x:v>
      </x:c>
      <x:c r="B20" s="28" t="str"/>
      <x:c r="C20" s="24" t="n">
        <x:v>2</x:v>
      </x:c>
      <x:c r="D20" s="24" t="str"/>
    </x:row>
    <x:row r="21">
      <x:c r="A21" s="24" t="str">
        <x:v>承認済み資料表示数</x:v>
      </x:c>
      <x:c r="B21" s="28" t="str"/>
      <x:c r="C21" s="24" t="n">
        <x:v>2</x:v>
      </x:c>
      <x:c r="D21" s="24" t="str"/>
    </x:row>
    <x:row r="22">
      <x:c r="A22" s="24" t="str">
        <x:v>案件列数</x:v>
      </x:c>
      <x:c r="B22" s="28" t="str"/>
      <x:c r="C22" s="24" t="n">
        <x:v>6</x:v>
      </x:c>
      <x:c r="D22" s="24" t="str"/>
    </x:row>
    <x:row r="23">
      <x:c r="A23" s="24" t="str">
        <x:v>案件件数</x:v>
      </x:c>
      <x:c r="B23" s="28" t="str"/>
      <x:c r="C23" s="24" t="n">
        <x:v>5</x:v>
      </x:c>
      <x:c r="D23" s="24" t="str"/>
    </x:row>
    <x:row r="24">
      <x:c r="A24" s="24" t="str">
        <x:v>対応中案件件数</x:v>
      </x:c>
      <x:c r="B24" s="28" t="str"/>
      <x:c r="C24" s="24" t="n">
        <x:v>4</x:v>
      </x:c>
      <x:c r="D24" s="24" t="str"/>
    </x:row>
    <x:row r="25">
      <x:c r="A25" s="24" t="str">
        <x:v>進行中案件件数</x:v>
      </x:c>
      <x:c r="B25" s="28" t="str"/>
      <x:c r="C25" s="24" t="n">
        <x:v>2</x:v>
      </x:c>
      <x:c r="D25" s="24" t="str"/>
    </x:row>
    <x:row r="26">
      <x:c r="A26" s="24" t="str">
        <x:v>資料件数</x:v>
      </x:c>
      <x:c r="B26" s="28" t="str"/>
      <x:c r="C26" s="24" t="n">
        <x:v>4</x:v>
      </x:c>
      <x:c r="D26" s="24" t="str"/>
    </x:row>
    <x:row r="27">
      <x:c r="A27" s="24" t="str">
        <x:v>資料追加列数</x:v>
      </x:c>
      <x:c r="B27" s="28" t="str"/>
      <x:c r="C27" s="24" t="n">
        <x:v>4</x:v>
      </x:c>
      <x:c r="D27" s="24" t="str"/>
    </x:row>
    <x:row r="28">
      <x:c r="A28" s="24" t="str">
        <x:v>承認済み資料件数</x:v>
      </x:c>
      <x:c r="B28" s="28" t="str"/>
      <x:c r="C28" s="24" t="n">
        <x:v>2</x:v>
      </x:c>
      <x:c r="D28" s="24" t="str"/>
    </x:row>
    <x:row r="29">
      <x:c r="A29" s="24" t="str">
        <x:v>Forms質問数</x:v>
      </x:c>
      <x:c r="B29" s="28" t="str"/>
      <x:c r="C29" s="24" t="n">
        <x:v>4</x:v>
      </x:c>
      <x:c r="D29" s="24" t="str"/>
    </x:row>
    <x:row r="30">
      <x:c r="A30" s="24" t="str">
        <x:v>Forms必須質問数</x:v>
      </x:c>
      <x:c r="B30" s="28" t="str"/>
      <x:c r="C30" s="24" t="n">
        <x:v>3</x:v>
      </x:c>
      <x:c r="D30" s="24" t="str"/>
    </x:row>
    <x:row r="31">
      <x:c r="A31" s="24" t="str">
        <x:v>Forms任意質問数</x:v>
      </x:c>
      <x:c r="B31" s="28" t="str"/>
      <x:c r="C31" s="24" t="n">
        <x:v>1</x:v>
      </x:c>
      <x:c r="D31" s="24" t="str"/>
    </x:row>
    <x:row r="32">
      <x:c r="A32" s="24" t="str">
        <x:v>Forms回答数</x:v>
      </x:c>
      <x:c r="B32" s="28" t="str"/>
      <x:c r="C32" s="24" t="n">
        <x:v>1</x:v>
      </x:c>
      <x:c r="D32" s="24" t="str"/>
    </x:row>
    <x:row r="33">
      <x:c r="A33" s="24" t="str">
        <x:v>権限基本役割数</x:v>
      </x:c>
      <x:c r="B33" s="28" t="str"/>
      <x:c r="C33" s="24" t="n">
        <x:v>3</x:v>
      </x:c>
      <x:c r="D33" s="24" t="str"/>
    </x:row>
    <x:row r="34">
      <x:c r="A34" s="24" t="str">
        <x:v>権限設計対象数</x:v>
      </x:c>
      <x:c r="B34" s="28" t="str"/>
      <x:c r="C34" s="24" t="n">
        <x:v>6</x:v>
      </x:c>
      <x:c r="D34" s="24" t="str"/>
    </x:row>
    <x:row r="35">
      <x:c r="A35" s="24" t="str">
        <x:v>更新対象数</x:v>
      </x:c>
      <x:c r="B35" s="28" t="str"/>
      <x:c r="C35" s="24" t="n">
        <x:v>6</x:v>
      </x:c>
      <x:c r="D35" s="24" t="str"/>
    </x:row>
    <x:row r="36">
      <x:c r="A36" s="24" t="str">
        <x:v>権限変更手順数</x:v>
      </x:c>
      <x:c r="B36" s="28" t="str"/>
      <x:c r="C36" s="24" t="n">
        <x:v>5</x:v>
      </x:c>
      <x:c r="D36" s="24" t="str"/>
    </x:row>
    <x:row r="37">
      <x:c r="A37" s="24" t="str">
        <x:v>異動・退職確認項目数</x:v>
      </x:c>
      <x:c r="B37" s="28" t="str"/>
      <x:c r="C37" s="24" t="n">
        <x:v>6</x:v>
      </x:c>
      <x:c r="D37" s="24" t="str"/>
    </x:row>
    <x:row r="38">
      <x:c r="A38" s="24" t="str">
        <x:v>運用要約項目数</x:v>
      </x:c>
      <x:c r="B38" s="28" t="str"/>
      <x:c r="C38" s="24" t="n">
        <x:v>8</x:v>
      </x:c>
      <x:c r="D38" s="24" t="str"/>
    </x:row>
    <x:row r="39">
      <x:c r="A39" s="24" t="str">
        <x:v>実際の権限変更件数</x:v>
      </x:c>
      <x:c r="B39" s="38" t="n">
        <x:v>0</x:v>
      </x:c>
      <x:c r="C39" s="24" t="n">
        <x:v>0</x:v>
      </x:c>
      <x:c r="D39" s="24" t="str"/>
    </x:row>
    <x:row r="40">
      <x:c r="A40" s="24" t="str">
        <x:v>動作確認件数</x:v>
      </x:c>
      <x:c r="B40" s="28" t="str"/>
      <x:c r="C40" s="24" t="n">
        <x:v>6</x:v>
      </x:c>
      <x:c r="D40" s="24" t="str"/>
    </x:row>
    <x:row r="41">
      <x:c r="A41" s="24" t="str">
        <x:v>動作確認OK件数</x:v>
      </x:c>
      <x:c r="B41" s="28" t="str"/>
      <x:c r="C41" s="24" t="str">
        <x:v>6または講師確認含む</x:v>
      </x:c>
      <x:c r="D41" s="24" t="str"/>
    </x:row>
    <x:row r="42">
      <x:c r="A42" s="24" t="str">
        <x:v>要修正件数</x:v>
      </x:c>
      <x:c r="B42" s="28" t="str"/>
      <x:c r="C42" s="24" t="str">
        <x:v>0〜3</x:v>
      </x:c>
      <x:c r="D42" s="24" t="str"/>
    </x:row>
    <x:row r="43">
      <x:c r="A43" s="24" t="str">
        <x:v>講師確認件数</x:v>
      </x:c>
      <x:c r="B43" s="28" t="str"/>
      <x:c r="C43" s="24" t="str">
        <x:v>0以上でも可</x:v>
      </x:c>
      <x:c r="D43" s="24" t="str"/>
    </x:row>
    <x:row r="44">
      <x:c r="A44" s="24" t="str">
        <x:v>修正後未確認件数</x:v>
      </x:c>
      <x:c r="B44" s="28" t="str"/>
      <x:c r="C44" s="24" t="n">
        <x:v>0</x:v>
      </x:c>
      <x:c r="D44" s="24" t="str"/>
    </x:row>
    <x:row r="45">
      <x:c r="A45" s="24" t="str">
        <x:v>未決事項数</x:v>
      </x:c>
      <x:c r="B45" s="28" t="str"/>
      <x:c r="C45" s="24" t="str">
        <x:v>0または内容記録</x:v>
      </x:c>
      <x:c r="D45" s="24" t="str"/>
    </x:row>
    <x:row r="47">
      <x:c r="A47" s="16" t="str">
        <x:v>最終項目</x:v>
      </x:c>
      <x:c r="B47" s="16" t="str">
        <x:v>記入・選択</x:v>
      </x:c>
      <x:c r="C47" s="16" t="str">
        <x:v>期待</x:v>
      </x:c>
      <x:c r="D47" s="16" t="str">
        <x:v>補足</x:v>
      </x:c>
    </x:row>
    <x:row r="48">
      <x:c r="A48" s="24" t="str">
        <x:v>公開状態</x:v>
      </x:c>
      <x:c r="B48" s="28" t="str"/>
      <x:c r="C48" s="24" t="str">
        <x:v>両ページとも下書き</x:v>
      </x:c>
      <x:c r="D48" s="24" t="str"/>
    </x:row>
    <x:row r="49">
      <x:c r="A49" s="24" t="str">
        <x:v>Excelファイル名</x:v>
      </x:c>
      <x:c r="B49" s="28" t="str"/>
      <x:c r="C49" s="24" t="str">
        <x:v>上級_第七章_最終確認_受講者名.xlsx</x:v>
      </x:c>
      <x:c r="D49" s="24" t="str"/>
    </x:row>
    <x:row r="50">
      <x:c r="A50" s="24" t="str">
        <x:v>上級コースの完成判定</x:v>
      </x:c>
      <x:c r="B50" s="28" t="str">
        <x:v>要確認</x:v>
      </x:c>
      <x:c r="C50" s="24" t="str">
        <x:v>完成</x:v>
      </x:c>
      <x:c r="D50" s="24" t="str"/>
    </x:row>
    <x:row r="51">
      <x:c r="A51" s="24" t="str">
        <x:v>講師コメント</x:v>
      </x:c>
      <x:c r="B51" s="28" t="str"/>
      <x:c r="C51" s="24" t="str">
        <x:v>任意</x:v>
      </x:c>
      <x:c r="D51" s="24" t="str"/>
    </x:row>
  </x:sheetData>
  <x:mergeCells>
    <x:mergeCell ref="A1:D2"/>
  </x:mergeCells>
  <x:dataValidations count="1">
    <x:dataValidation type="list" sqref="B50">
      <x:formula1>"完成,要確認"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50" hidden="0" customWidth="1"/>
    <x:col min="3" max="3" width="48" hidden="0" customWidth="1"/>
    <x:col min="4" max="4" width="46" hidden="0" customWidth="1"/>
  </x:cols>
  <x:sheetData>
    <x:row r="1" ht="34" customHeight="1">
      <x:c r="A1" s="6" t="str">
        <x:v>総合演習で困ったときの確認順</x:v>
      </x:c>
      <x:c r="B1" s="6"/>
      <x:c r="C1" s="6"/>
      <x:c r="D1" s="6"/>
    </x:row>
    <x:row r="2" ht="34" customHeight="1">
      <x:c r="A2" s="6"/>
      <x:c r="B2" s="6"/>
      <x:c r="C2" s="6"/>
      <x:c r="D2" s="6"/>
    </x:row>
    <x:row r="4">
      <x:c r="A4" s="16" t="str">
        <x:v>状態</x:v>
      </x:c>
      <x:c r="B4" s="16" t="str">
        <x:v>確認すること</x:v>
      </x:c>
      <x:c r="C4" s="16" t="str">
        <x:v>してよい対応</x:v>
      </x:c>
      <x:c r="D4" s="16" t="str">
        <x:v>しない対応</x:v>
      </x:c>
    </x:row>
    <x:row r="5">
      <x:c r="A5" s="38" t="str">
        <x:v>成果物が開かない</x:v>
      </x:c>
      <x:c r="B5" s="38" t="str">
        <x:v>URL・ログイン・講師指定環境</x:v>
      </x:c>
      <x:c r="C5" s="38" t="str">
        <x:v>講師確認にする</x:v>
      </x:c>
      <x:c r="D5" s="38" t="str">
        <x:v>新しく作り直す</x:v>
      </x:c>
    </x:row>
    <x:row r="6">
      <x:c r="A6" s="38" t="str">
        <x:v>トップが6領域でない</x:v>
      </x:c>
      <x:c r="B6" s="38" t="str">
        <x:v>既存Webパーツの表示</x:v>
      </x:c>
      <x:c r="C6" s="38" t="str">
        <x:v>不足領域を確認</x:v>
      </x:c>
      <x:c r="D6" s="38" t="str">
        <x:v>ページ全体を作り直す</x:v>
      </x:c>
    </x:row>
    <x:row r="7">
      <x:c r="A7" s="38" t="str">
        <x:v>リンクが開かない</x:v>
      </x:c>
      <x:c r="B7" s="38" t="str">
        <x:v>URLと利用者向け画面</x:v>
      </x:c>
      <x:c r="C7" s="38" t="str">
        <x:v>正しいURLへ修正</x:v>
      </x:c>
      <x:c r="D7" s="38" t="str">
        <x:v>存在しないURLを作る</x:v>
      </x:c>
    </x:row>
    <x:row r="8">
      <x:c r="A8" s="38" t="str">
        <x:v>案件件数が違う</x:v>
      </x:c>
      <x:c r="B8" s="38" t="str">
        <x:v>第四・第五章の完成状態</x:v>
      </x:c>
      <x:c r="C8" s="38" t="str">
        <x:v>講師確認にする</x:v>
      </x:c>
      <x:c r="D8" s="38" t="str">
        <x:v>案件を追加・削除する</x:v>
      </x:c>
    </x:row>
    <x:row r="9">
      <x:c r="A9" s="38" t="str">
        <x:v>進行中が2件でない</x:v>
      </x:c>
      <x:c r="B9" s="38" t="str">
        <x:v>表示ビューとP002の状態</x:v>
      </x:c>
      <x:c r="C9" s="38" t="str">
        <x:v>ビュー選択を確認</x:v>
      </x:c>
      <x:c r="D9" s="38" t="str">
        <x:v>列を作り直す</x:v>
      </x:c>
    </x:row>
    <x:row r="10">
      <x:c r="A10" s="38" t="str">
        <x:v>資料件数が違う</x:v>
      </x:c>
      <x:c r="B10" s="38" t="str">
        <x:v>第三章の4資料</x:v>
      </x:c>
      <x:c r="C10" s="38" t="str">
        <x:v>講師確認にする</x:v>
      </x:c>
      <x:c r="D10" s="38" t="str">
        <x:v>資料を追加・削除する</x:v>
      </x:c>
    </x:row>
    <x:row r="11">
      <x:c r="A11" s="38" t="str">
        <x:v>承認済みが2件でない</x:v>
      </x:c>
      <x:c r="B11" s="38" t="str">
        <x:v>表示ビュー</x:v>
      </x:c>
      <x:c r="C11" s="38" t="str">
        <x:v>承認済み資料を選ぶ</x:v>
      </x:c>
      <x:c r="D11" s="38" t="str">
        <x:v>承認状態を書き換える</x:v>
      </x:c>
    </x:row>
    <x:row r="12">
      <x:c r="A12" s="38" t="str">
        <x:v>Formsが開かない</x:v>
      </x:c>
      <x:c r="B12" s="38" t="str">
        <x:v>回答用URLか編集用URLか</x:v>
      </x:c>
      <x:c r="C12" s="38" t="str">
        <x:v>回答用URLを確認</x:v>
      </x:c>
      <x:c r="D12" s="38" t="str">
        <x:v>フォームを作り直す</x:v>
      </x:c>
    </x:row>
    <x:row r="13">
      <x:c r="A13" s="38" t="str">
        <x:v>詳細ページに4件でない</x:v>
      </x:c>
      <x:c r="B13" s="38" t="str">
        <x:v>対応中案件ビュー</x:v>
      </x:c>
      <x:c r="C13" s="38" t="str">
        <x:v>ビュー選択を確認</x:v>
      </x:c>
      <x:c r="D13" s="38" t="str">
        <x:v>案件を編集する</x:v>
      </x:c>
    </x:row>
    <x:row r="14">
      <x:c r="A14" s="38" t="str">
        <x:v>一般利用者確認ができない</x:v>
      </x:c>
      <x:c r="B14" s="38" t="str">
        <x:v>テストアカウントの有無</x:v>
      </x:c>
      <x:c r="C14" s="38" t="str">
        <x:v>講師と確認</x:v>
      </x:c>
      <x:c r="D14" s="38" t="str">
        <x:v>権限を追加する</x:v>
      </x:c>
    </x:row>
    <x:row r="15">
      <x:c r="A15" s="38" t="str">
        <x:v>問題が4件以上</x:v>
      </x:c>
      <x:c r="B15" s="38" t="str">
        <x:v>優先順位</x:v>
      </x:c>
      <x:c r="C15" s="38" t="str">
        <x:v>3件修正・残り講師確認</x:v>
      </x:c>
      <x:c r="D15" s="38" t="str">
        <x:v>時間を超えて全部直す</x:v>
      </x:c>
    </x:row>
    <x:row r="16">
      <x:c r="A16" s="38" t="str">
        <x:v>誤公開の可能性</x:v>
      </x:c>
      <x:c r="B16" s="38" t="str">
        <x:v>対象・公開範囲</x:v>
      </x:c>
      <x:c r="C16" s="38" t="str">
        <x:v>操作を止めて連絡</x:v>
      </x:c>
      <x:c r="D16" s="38" t="str">
        <x:v>自分だけで権限変更</x:v>
      </x:c>
    </x:row>
  </x:sheetData>
  <x:mergeCells>
    <x:mergeCell ref="A1:D2"/>
  </x:mergeCells>
  <x:pageMargins left="0.7" right="0.7" top="0.75" bottom="0.75" header="0.3" footer="0.3"/>
</x:worksheet>
</file>