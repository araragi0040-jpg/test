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2953e48f4f4b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最初に読む" sheetId="1" r:id="Re8e185771c194836"/>
    <x:sheet xmlns:r="http://schemas.openxmlformats.org/officeDocument/2006/relationships" name="01_月次実績" sheetId="2" r:id="Re549fcb1ba0e41ca"/>
    <x:sheet xmlns:r="http://schemas.openxmlformats.org/officeDocument/2006/relationships" name="02_7月追加データ" sheetId="3" r:id="Ra93f6be8ac9446a4"/>
    <x:sheet xmlns:r="http://schemas.openxmlformats.org/officeDocument/2006/relationships" name="03_更新前確認" sheetId="4" r:id="R5e021c4dc8aa4387"/>
    <x:sheet xmlns:r="http://schemas.openxmlformats.org/officeDocument/2006/relationships" name="04_追加データ確認" sheetId="5" r:id="R4a72a58ac6354756"/>
    <x:sheet xmlns:r="http://schemas.openxmlformats.org/officeDocument/2006/relationships" name="05_更新後確認" sheetId="6" r:id="R6a7598a1843f4578"/>
    <x:sheet xmlns:r="http://schemas.openxmlformats.org/officeDocument/2006/relationships" name="06_PowerBI確認" sheetId="7" r:id="R7c917d36420842ba"/>
    <x:sheet xmlns:r="http://schemas.openxmlformats.org/officeDocument/2006/relationships" name="07_月次更新手順" sheetId="8" r:id="R83d9d9b6dac7476f"/>
    <x:sheet xmlns:r="http://schemas.openxmlformats.org/officeDocument/2006/relationships" name="08_更新チェックリスト" sheetId="9" r:id="R1f61394b77aa46f9"/>
    <x:sheet xmlns:r="http://schemas.openxmlformats.org/officeDocument/2006/relationships" name="09_提出確認" sheetId="10" r:id="R5506959eacaf4bd5"/>
    <x:sheet xmlns:r="http://schemas.openxmlformats.org/officeDocument/2006/relationships" name="99_期待値" sheetId="11" r:id="R8d8c66db935344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/mm/dd"/>
    <x:numFmt numFmtId="201" formatCode="yyyy-mm"/>
    <x:numFmt numFmtId="202" formatCode="0"/>
    <x:numFmt numFmtId="203" formatCode="#,##0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sz val="11"/>
      <x:color rgb="FF1E2A36"/>
      <x:name val="Carlito"/>
    </x:font>
    <x:font>
      <x:b/>
      <x:sz val="11"/>
      <x:color rgb="FF1E2A3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315E7D"/>
      </x:patternFill>
    </x:fill>
    <x:fill>
      <x:patternFill patternType="solid">
        <x:fgColor rgb="FF3E7293"/>
      </x:patternFill>
    </x:fill>
    <x:fill>
      <x:patternFill patternType="solid">
        <x:fgColor rgb="FFFFF3CD"/>
      </x:patternFill>
    </x:fill>
    <x:fill>
      <x:patternFill patternType="solid">
        <x:fgColor rgb="FFE8F5E9"/>
      </x:patternFill>
    </x:fill>
    <x:fill>
      <x:patternFill patternType="solid">
        <x:fgColor rgb="FFEEF2F5"/>
      </x:patternFill>
    </x:fill>
  </x:fills>
  <x:borders count="2">
    <x:border/>
    <x:border/>
  </x:borders>
  <x:cellStyleXfs count="1">
    <x:xf numFmtId="0" fontId="0" fillId="0" borderId="0"/>
  </x:cellStyleXfs>
  <x:cellXfs count="10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  <x:xf numFmtId="200" fontId="3" fillId="6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3" fillId="6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/>
    <x:xf numFmtId="201" fontId="3" fillId="6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3" fillId="6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/>
    <x:xf numFmtId="202" fontId="3" fillId="6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  <x:xf numFmtId="202" fontId="3" fillId="6" borderId="1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/>
    <x:xf numFmtId="203" fontId="3" fillId="6" borderId="0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/>
    <x:xf numFmtId="203" fontId="3" fillId="6" borderId="1" xfId="0" applyNumberFormat="1" applyFont="1" applyFill="1" applyBorder="1" applyAlignment="1">
      <x:alignment vertical="top" wrapText="1"/>
    </x:xf>
    <x:xf numFmtId="203" fontId="0" fillId="0" borderId="1" xfId="0" applyNumberFormat="1" applyFont="1" applyFill="1" applyBorder="1"/>
    <x:xf numFmtId="0" fontId="0" fillId="4" borderId="0" xfId="0" applyNumberFormat="1" applyFont="1" applyFill="1" applyBorder="1"/>
    <x:xf numFmtId="200" fontId="0" fillId="4" borderId="0" xfId="0" applyNumberFormat="1" applyFont="1" applyFill="1" applyBorder="1"/>
    <x:xf numFmtId="201" fontId="0" fillId="4" borderId="0" xfId="0" applyNumberFormat="1" applyFont="1" applyFill="1" applyBorder="1"/>
    <x:xf numFmtId="202" fontId="0" fillId="4" borderId="0" xfId="0" applyNumberFormat="1" applyFont="1" applyFill="1" applyBorder="1"/>
    <x:xf numFmtId="203" fontId="0" fillId="4" borderId="0" xfId="0" applyNumberFormat="1" applyFont="1" applyFill="1" applyBorder="1"/>
    <x:xf numFmtId="0" fontId="4" fillId="4" borderId="0" xfId="0" applyNumberFormat="1" applyFont="1" applyFill="1" applyBorder="1"/>
    <x:xf numFmtId="200" fontId="4" fillId="4" borderId="0" xfId="0" applyNumberFormat="1" applyFont="1" applyFill="1" applyBorder="1"/>
    <x:xf numFmtId="201" fontId="4" fillId="4" borderId="0" xfId="0" applyNumberFormat="1" applyFont="1" applyFill="1" applyBorder="1"/>
    <x:xf numFmtId="202" fontId="4" fillId="4" borderId="0" xfId="0" applyNumberFormat="1" applyFont="1" applyFill="1" applyBorder="1"/>
    <x:xf numFmtId="203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200" fontId="4" fillId="4" borderId="0" xfId="0" applyNumberFormat="1" applyFont="1" applyFill="1" applyBorder="1" applyAlignment="1">
      <x:alignment wrapText="1"/>
    </x:xf>
    <x:xf numFmtId="201" fontId="4" fillId="4" borderId="0" xfId="0" applyNumberFormat="1" applyFont="1" applyFill="1" applyBorder="1" applyAlignment="1">
      <x:alignment wrapText="1"/>
    </x:xf>
    <x:xf numFmtId="202" fontId="4" fillId="4" borderId="0" xfId="0" applyNumberFormat="1" applyFont="1" applyFill="1" applyBorder="1" applyAlignment="1">
      <x:alignment wrapText="1"/>
    </x:xf>
    <x:xf numFmtId="203" fontId="4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200" fontId="0" fillId="4" borderId="1" xfId="0" applyNumberFormat="1" applyFont="1" applyFill="1" applyBorder="1"/>
    <x:xf numFmtId="201" fontId="0" fillId="4" borderId="1" xfId="0" applyNumberFormat="1" applyFont="1" applyFill="1" applyBorder="1"/>
    <x:xf numFmtId="202" fontId="0" fillId="4" borderId="1" xfId="0" applyNumberFormat="1" applyFont="1" applyFill="1" applyBorder="1"/>
    <x:xf numFmtId="203" fontId="0" fillId="4" borderId="1" xfId="0" applyNumberFormat="1" applyFont="1" applyFill="1" applyBorder="1"/>
    <x:xf numFmtId="0" fontId="4" fillId="4" borderId="1" xfId="0" applyNumberFormat="1" applyFont="1" applyFill="1" applyBorder="1"/>
    <x:xf numFmtId="200" fontId="4" fillId="4" borderId="1" xfId="0" applyNumberFormat="1" applyFont="1" applyFill="1" applyBorder="1"/>
    <x:xf numFmtId="201" fontId="4" fillId="4" borderId="1" xfId="0" applyNumberFormat="1" applyFont="1" applyFill="1" applyBorder="1"/>
    <x:xf numFmtId="202" fontId="4" fillId="4" borderId="1" xfId="0" applyNumberFormat="1" applyFont="1" applyFill="1" applyBorder="1"/>
    <x:xf numFmtId="203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200" fontId="4" fillId="4" borderId="1" xfId="0" applyNumberFormat="1" applyFont="1" applyFill="1" applyBorder="1" applyAlignment="1">
      <x:alignment wrapText="1"/>
    </x:xf>
    <x:xf numFmtId="201" fontId="4" fillId="4" borderId="1" xfId="0" applyNumberFormat="1" applyFont="1" applyFill="1" applyBorder="1" applyAlignment="1">
      <x:alignment wrapText="1"/>
    </x:xf>
    <x:xf numFmtId="202" fontId="4" fillId="4" borderId="1" xfId="0" applyNumberFormat="1" applyFont="1" applyFill="1" applyBorder="1" applyAlignment="1">
      <x:alignment wrapText="1"/>
    </x:xf>
    <x:xf numFmtId="203" fontId="4" fillId="4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200" fontId="3" fillId="4" borderId="0" xfId="0" applyNumberFormat="1" applyFont="1" applyFill="1" applyBorder="1" applyAlignment="1">
      <x:alignment vertical="top" wrapText="1"/>
    </x:xf>
    <x:xf numFmtId="200" fontId="3" fillId="4" borderId="1" xfId="0" applyNumberFormat="1" applyFont="1" applyFill="1" applyBorder="1" applyAlignment="1">
      <x:alignment vertical="top" wrapText="1"/>
    </x:xf>
    <x:xf numFmtId="201" fontId="3" fillId="4" borderId="0" xfId="0" applyNumberFormat="1" applyFont="1" applyFill="1" applyBorder="1" applyAlignment="1">
      <x:alignment vertical="top" wrapText="1"/>
    </x:xf>
    <x:xf numFmtId="201" fontId="3" fillId="4" borderId="1" xfId="0" applyNumberFormat="1" applyFont="1" applyFill="1" applyBorder="1" applyAlignment="1">
      <x:alignment vertical="top" wrapText="1"/>
    </x:xf>
    <x:xf numFmtId="202" fontId="3" fillId="4" borderId="0" xfId="0" applyNumberFormat="1" applyFont="1" applyFill="1" applyBorder="1" applyAlignment="1">
      <x:alignment vertical="top" wrapText="1"/>
    </x:xf>
    <x:xf numFmtId="202" fontId="3" fillId="4" borderId="1" xfId="0" applyNumberFormat="1" applyFont="1" applyFill="1" applyBorder="1" applyAlignment="1">
      <x:alignment vertical="top" wrapText="1"/>
    </x:xf>
    <x:xf numFmtId="203" fontId="3" fillId="4" borderId="0" xfId="0" applyNumberFormat="1" applyFont="1" applyFill="1" applyBorder="1" applyAlignment="1">
      <x:alignment vertical="top" wrapText="1"/>
    </x:xf>
    <x:xf numFmtId="203" fontId="3" fillId="4" borderId="1" xfId="0" applyNumberFormat="1" applyFont="1" applyFill="1" applyBorder="1" applyAlignment="1">
      <x:alignment vertical="top" wrapText="1"/>
    </x:xf>
    <x:xf numFmtId="203" fontId="3" fillId="0" borderId="0" xfId="0" applyNumberFormat="1" applyFont="1" applyFill="1" applyBorder="1" applyAlignment="1">
      <x:alignment vertical="top" wrapText="1"/>
    </x:xf>
    <x:xf numFmtId="203" fontId="3" fillId="0" borderId="1" xfId="0" applyNumberFormat="1" applyFont="1" applyFill="1" applyBorder="1" applyAlignment="1">
      <x:alignment vertical="top" wrapText="1"/>
    </x:xf>
    <x:xf numFmtId="201" fontId="3" fillId="0" borderId="0" xfId="0" applyNumberFormat="1" applyFont="1" applyFill="1" applyBorder="1" applyAlignment="1">
      <x:alignment vertical="top" wrapText="1"/>
    </x:xf>
    <x:xf numFmtId="201" fontId="3" fillId="0" borderId="1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dfe029b3be46d5" /><Relationship Type="http://schemas.openxmlformats.org/officeDocument/2006/relationships/theme" Target="/xl/theme/theme1.xml" Id="R529776638d30434c" /><Relationship Type="http://schemas.openxmlformats.org/officeDocument/2006/relationships/sharedStrings" Target="/xl/sharedStrings.xml" Id="R34bf3c1123c54a4d" /><Relationship Type="http://schemas.openxmlformats.org/officeDocument/2006/relationships/worksheet" Target="/xl/worksheets/sheet1.xml" Id="Re8e185771c194836" /><Relationship Type="http://schemas.openxmlformats.org/officeDocument/2006/relationships/worksheet" Target="/xl/worksheets/sheet2.xml" Id="Re549fcb1ba0e41ca" /><Relationship Type="http://schemas.openxmlformats.org/officeDocument/2006/relationships/worksheet" Target="/xl/worksheets/sheet3.xml" Id="Ra93f6be8ac9446a4" /><Relationship Type="http://schemas.openxmlformats.org/officeDocument/2006/relationships/worksheet" Target="/xl/worksheets/sheet4.xml" Id="R5e021c4dc8aa4387" /><Relationship Type="http://schemas.openxmlformats.org/officeDocument/2006/relationships/worksheet" Target="/xl/worksheets/sheet5.xml" Id="R4a72a58ac6354756" /><Relationship Type="http://schemas.openxmlformats.org/officeDocument/2006/relationships/worksheet" Target="/xl/worksheets/sheet6.xml" Id="R6a7598a1843f4578" /><Relationship Type="http://schemas.openxmlformats.org/officeDocument/2006/relationships/worksheet" Target="/xl/worksheets/sheet7.xml" Id="R7c917d36420842ba" /><Relationship Type="http://schemas.openxmlformats.org/officeDocument/2006/relationships/worksheet" Target="/xl/worksheets/sheet8.xml" Id="R83d9d9b6dac7476f" /><Relationship Type="http://schemas.openxmlformats.org/officeDocument/2006/relationships/worksheet" Target="/xl/worksheets/sheet9.xml" Id="R1f61394b77aa46f9" /><Relationship Type="http://schemas.openxmlformats.org/officeDocument/2006/relationships/worksheet" Target="/xl/worksheets/sheet10.xml" Id="R5506959eacaf4bd5" /><Relationship Type="http://schemas.openxmlformats.org/officeDocument/2006/relationships/worksheet" Target="/xl/worksheets/sheet11.xml" Id="R8d8c66db93534478" /></Relationships>
</file>

<file path=xl/tables/table1.xml><?xml version="1.0" encoding="utf-8"?>
<x:table xmlns:x="http://schemas.openxmlformats.org/spreadsheetml/2006/main" id="1" name="月次実績テーブル" displayName="月次実績テーブル" ref="A3:O21" headerRowCount="1">
  <x:tableColumns count="15">
    <x:tableColumn id="1" name="実績ID"/>
    <x:tableColumn id="2" name="実績日"/>
    <x:tableColumn id="3" name="年月"/>
    <x:tableColumn id="4" name="部門"/>
    <x:tableColumn id="5" name="担当者"/>
    <x:tableColumn id="6" name="地域"/>
    <x:tableColumn id="7" name="顧客区分"/>
    <x:tableColumn id="8" name="サービスカテゴリ"/>
    <x:tableColumn id="9" name="サービス名"/>
    <x:tableColumn id="10" name="数量"/>
    <x:tableColumn id="11" name="単価"/>
    <x:tableColumn id="12" name="売上金額"/>
    <x:tableColumn id="13" name="ステータス"/>
    <x:tableColumn id="14" name="受注経路"/>
    <x:tableColumn id="15" name="備考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6c4e980afb24ee9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8" hidden="0" customWidth="1"/>
    <x:col min="3" max="3" width="34" hidden="0" customWidth="1"/>
    <x:col min="4" max="4" width="28" hidden="0" customWidth="1"/>
    <x:col min="5" max="5" width="34" hidden="0" customWidth="1"/>
    <x:col min="6" max="6" width="13" hidden="0" customWidth="1"/>
  </x:cols>
  <x:sheetData>
    <x:row r="1" ht="34" customHeight="1">
      <x:c r="A1" s="6" t="str">
        <x:v>中級・第六章　月次更新演習</x:v>
      </x:c>
      <x:c r="B1" s="6"/>
      <x:c r="C1" s="6"/>
      <x:c r="D1" s="6"/>
      <x:c r="E1" s="6"/>
      <x:c r="F1" s="6"/>
    </x:row>
    <x:row r="2" ht="34" customHeight="1">
      <x:c r="A2" s="6"/>
      <x:c r="B2" s="6"/>
      <x:c r="C2" s="6"/>
      <x:c r="D2" s="6"/>
      <x:c r="E2" s="6"/>
      <x:c r="F2" s="6"/>
    </x:row>
    <x:row r="4">
      <x:c r="A4" s="16" t="str">
        <x:v>順番</x:v>
      </x:c>
      <x:c r="B4" s="16" t="str">
        <x:v>シート・操作</x:v>
      </x:c>
      <x:c r="C4" s="16" t="str">
        <x:v>行うこと</x:v>
      </x:c>
      <x:c r="D4" s="16" t="str">
        <x:v>完成状態</x:v>
      </x:c>
      <x:c r="E4" s="16" t="str">
        <x:v>困った場合</x:v>
      </x:c>
      <x:c r="F4" s="16" t="str">
        <x:v>確認</x:v>
      </x:c>
    </x:row>
    <x:row r="5">
      <x:c r="A5" s="24" t="n">
        <x:v>1</x:v>
      </x:c>
      <x:c r="B5" s="24" t="str">
        <x:v>03_更新前確認</x:v>
      </x:c>
      <x:c r="C5" s="24" t="str">
        <x:v>更新前の標準値を確認</x:v>
      </x:c>
      <x:c r="D5" s="24" t="str">
        <x:v>すべてOK</x:v>
      </x:c>
      <x:c r="E5" s="24" t="str">
        <x:v>不一致なら追加しない</x:v>
      </x:c>
      <x:c r="F5" s="24" t="str">
        <x:v>未確認</x:v>
      </x:c>
    </x:row>
    <x:row r="6">
      <x:c r="A6" s="24" t="n">
        <x:v>2</x:v>
      </x:c>
      <x:c r="B6" s="24" t="str">
        <x:v>04_追加データ確認</x:v>
      </x:c>
      <x:c r="C6" s="24" t="str">
        <x:v>7月6件を確認</x:v>
      </x:c>
      <x:c r="D6" s="24" t="str">
        <x:v>すべてOK</x:v>
      </x:c>
      <x:c r="E6" s="24" t="str">
        <x:v>02シートを変更しない</x:v>
      </x:c>
      <x:c r="F6" s="24" t="str">
        <x:v>未確認</x:v>
      </x:c>
    </x:row>
    <x:row r="7">
      <x:c r="A7" s="24" t="n">
        <x:v>3</x:v>
      </x:c>
      <x:c r="B7" s="24" t="str">
        <x:v>01_月次実績</x:v>
      </x:c>
      <x:c r="C7" s="24" t="str">
        <x:v>A20へ6件を貼付・保存</x:v>
      </x:c>
      <x:c r="D7" s="24" t="str">
        <x:v>24件になる</x:v>
      </x:c>
      <x:c r="E7" s="24" t="str">
        <x:v>見出しは貼らない</x:v>
      </x:c>
      <x:c r="F7" s="24" t="str">
        <x:v>未確認</x:v>
      </x:c>
    </x:row>
    <x:row r="8">
      <x:c r="A8" s="24" t="n">
        <x:v>4</x:v>
      </x:c>
      <x:c r="B8" s="24" t="str">
        <x:v>05_更新後確認</x:v>
      </x:c>
      <x:c r="C8" s="24" t="str">
        <x:v>全件・7月の値を確認</x:v>
      </x:c>
      <x:c r="D8" s="24" t="str">
        <x:v>すべてOK</x:v>
      </x:c>
      <x:c r="E8" s="24" t="str">
        <x:v>Power BIへ進まない</x:v>
      </x:c>
      <x:c r="F8" s="24" t="str">
        <x:v>未確認</x:v>
      </x:c>
    </x:row>
    <x:row r="9">
      <x:c r="A9" s="24" t="n">
        <x:v>5</x:v>
      </x:c>
      <x:c r="B9" s="24" t="str">
        <x:v>Power BI Desktop</x:v>
      </x:c>
      <x:c r="C9" s="24" t="str">
        <x:v>更新・全件・営業1課</x:v>
      </x:c>
      <x:c r="D9" s="24" t="str">
        <x:v>期待値と一致</x:v>
      </x:c>
      <x:c r="E9" s="24" t="str">
        <x:v>参照先と保存を確認</x:v>
      </x:c>
      <x:c r="F9" s="24" t="str">
        <x:v>未確認</x:v>
      </x:c>
    </x:row>
    <x:row r="10">
      <x:c r="A10" s="24" t="n">
        <x:v>6</x:v>
      </x:c>
      <x:c r="B10" s="24" t="str">
        <x:v>07・08</x:v>
      </x:c>
      <x:c r="C10" s="24" t="str">
        <x:v>手順・チェックリスト</x:v>
      </x:c>
      <x:c r="D10" s="24" t="str">
        <x:v>基本情報と10項目</x:v>
      </x:c>
      <x:c r="E10" s="24" t="str">
        <x:v>白紙から作らない</x:v>
      </x:c>
      <x:c r="F10" s="24" t="str">
        <x:v>未確認</x:v>
      </x:c>
    </x:row>
    <x:row r="11">
      <x:c r="A11" s="24" t="n">
        <x:v>7</x:v>
      </x:c>
      <x:c r="B11" s="24" t="str">
        <x:v>09_提出確認</x:v>
      </x:c>
      <x:c r="C11" s="24" t="str">
        <x:v>5問・完成記録</x:v>
      </x:c>
      <x:c r="D11" s="24" t="str">
        <x:v>完成判定</x:v>
      </x:c>
      <x:c r="E11" s="24" t="str">
        <x:v>完成箇所は作り直さない</x:v>
      </x:c>
      <x:c r="F11" s="24" t="str">
        <x:v>未確認</x:v>
      </x:c>
    </x:row>
    <x:row r="13">
      <x:c r="A13" s="16" t="str">
        <x:v>基本情報</x:v>
      </x:c>
      <x:c r="B13" s="16" t="str">
        <x:v>入力</x:v>
      </x:c>
    </x:row>
    <x:row r="14">
      <x:c r="A14" s="24" t="str">
        <x:v>受講者名</x:v>
      </x:c>
      <x:c r="B14" s="28" t="str"/>
    </x:row>
    <x:row r="15">
      <x:c r="A15" s="24" t="str">
        <x:v>使用端末</x:v>
      </x:c>
      <x:c r="B15" s="28" t="str"/>
    </x:row>
    <x:row r="16">
      <x:c r="A16" s="24" t="str">
        <x:v>Excel保存名</x:v>
      </x:c>
      <x:c r="B16" s="28" t="str">
        <x:v>中級_第六章_月次更新_受講者名.xlsx</x:v>
      </x:c>
    </x:row>
    <x:row r="17">
      <x:c r="A17" s="24" t="str">
        <x:v>PBIX保存名</x:v>
      </x:c>
      <x:c r="B17" s="28" t="str">
        <x:v>中級_第六章_PowerBI更新済_受講者名.pbix</x:v>
      </x:c>
    </x:row>
    <x:row r="18">
      <x:c r="A18" s="24" t="str">
        <x:v>問い合わせ先</x:v>
      </x:c>
      <x:c r="B18" s="24" t="str">
        <x:v>教材演習担当</x:v>
      </x:c>
    </x:row>
    <x:row r="20">
      <x:c r="A20" s="32" t="str">
        <x:v>作業順：追加データ確認 → Excelへ追加 → Excel保存 → Power BI更新 → 数値照合 → 保存</x:v>
      </x:c>
      <x:c r="B20" s="32"/>
      <x:c r="C20" s="32"/>
      <x:c r="D20" s="32"/>
      <x:c r="E20" s="32"/>
      <x:c r="F20" s="32"/>
    </x:row>
  </x:sheetData>
  <x:mergeCells>
    <x:mergeCell ref="A1:F2"/>
    <x:mergeCell ref="A20:F20"/>
  </x:mergeCells>
  <x:dataValidations count="1">
    <x:dataValidation type="list" sqref="F5:F11">
      <x:formula1>"未確認,OK,要確認"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13" hidden="0" customWidth="1"/>
    <x:col min="4" max="4" width="15" hidden="0" customWidth="1"/>
    <x:col min="5" max="5" width="18" hidden="0" customWidth="1"/>
    <x:col min="6" max="6" width="12" hidden="0" customWidth="1"/>
    <x:col min="7" max="7" width="15" hidden="0" customWidth="1"/>
    <x:col min="8" max="8" width="22" hidden="0" customWidth="1"/>
    <x:col min="9" max="9" width="18" hidden="0" customWidth="1"/>
    <x:col min="10" max="10" width="11" hidden="0" customWidth="1"/>
    <x:col min="11" max="11" width="14" hidden="0" customWidth="1"/>
    <x:col min="12" max="12" width="16" hidden="0" customWidth="1"/>
    <x:col min="13" max="13" width="15" hidden="0" customWidth="1"/>
    <x:col min="14" max="14" width="16" hidden="0" customWidth="1"/>
    <x:col min="15" max="15" width="24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</x:cols>
  <x:sheetData>
    <x:row r="1" ht="34" customHeight="1">
      <x:c r="A1" s="6" t="str">
        <x:v>月次実績テーブル　7月データはA22ではなく表直下A22へ追加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</x:row>
    <x:row r="2" ht="34" customHeight="1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</x:row>
    <x:row r="3">
      <x:c r="A3" s="16" t="str">
        <x:v>実績ID</x:v>
      </x:c>
      <x:c r="B3" s="16" t="str">
        <x:v>実績日</x:v>
      </x:c>
      <x:c r="C3" s="16" t="str">
        <x:v>年月</x:v>
      </x:c>
      <x:c r="D3" s="16" t="str">
        <x:v>部門</x:v>
      </x:c>
      <x:c r="E3" s="16" t="str">
        <x:v>担当者</x:v>
      </x:c>
      <x:c r="F3" s="16" t="str">
        <x:v>地域</x:v>
      </x:c>
      <x:c r="G3" s="16" t="str">
        <x:v>顧客区分</x:v>
      </x:c>
      <x:c r="H3" s="16" t="str">
        <x:v>サービスカテゴリ</x:v>
      </x:c>
      <x:c r="I3" s="16" t="str">
        <x:v>サービス名</x:v>
      </x:c>
      <x:c r="J3" s="16" t="str">
        <x:v>数量</x:v>
      </x:c>
      <x:c r="K3" s="16" t="str">
        <x:v>単価</x:v>
      </x:c>
      <x:c r="L3" s="16" t="str">
        <x:v>売上金額</x:v>
      </x:c>
      <x:c r="M3" s="16" t="str">
        <x:v>ステータス</x:v>
      </x:c>
      <x:c r="N3" s="16" t="str">
        <x:v>受注経路</x:v>
      </x:c>
      <x:c r="O3" s="16" t="str">
        <x:v>備考</x:v>
      </x:c>
      <x:c r="Q3" s="106" t="str">
        <x:v>貼り付け先：表の直下A22。
見出しはコピーせず、02_7月追加データのA4:O9を貼り付けます。</x:v>
      </x:c>
      <x:c r="R3" s="106"/>
      <x:c r="S3" s="106"/>
      <x:c r="T3" s="106"/>
      <x:c r="U3" s="106"/>
    </x:row>
    <x:row r="4">
      <x:c r="A4" s="39" t="str">
        <x:v>R0013</x:v>
      </x:c>
      <x:c r="B4" s="44" t="n">
        <x:v>46117</x:v>
      </x:c>
      <x:c r="C4" s="48" t="n">
        <x:v>46113</x:v>
      </x:c>
      <x:c r="D4" s="39" t="str">
        <x:v>営業1課</x:v>
      </x:c>
      <x:c r="E4" s="39" t="str">
        <x:v>佐藤太郎</x:v>
      </x:c>
      <x:c r="F4" s="39" t="str">
        <x:v>関東</x:v>
      </x:c>
      <x:c r="G4" s="39" t="str">
        <x:v>新規</x:v>
      </x:c>
      <x:c r="H4" s="39" t="str">
        <x:v>保守</x:v>
      </x:c>
      <x:c r="I4" s="39" t="str">
        <x:v>保守A</x:v>
      </x:c>
      <x:c r="J4" s="52" t="n">
        <x:v>1</x:v>
      </x:c>
      <x:c r="K4" s="56" t="n">
        <x:v>120000</x:v>
      </x:c>
      <x:c r="L4" s="56" t="n">
        <x:v>120000</x:v>
      </x:c>
      <x:c r="M4" s="39" t="str">
        <x:v>完了</x:v>
      </x:c>
      <x:c r="N4" s="39" t="str">
        <x:v>Web</x:v>
      </x:c>
      <x:c r="O4" s="39" t="str">
        <x:v>可視化追加</x:v>
      </x:c>
      <x:c r="Q4" s="106"/>
      <x:c r="R4" s="106"/>
      <x:c r="S4" s="106"/>
      <x:c r="T4" s="106"/>
      <x:c r="U4" s="106"/>
    </x:row>
    <x:row r="5">
      <x:c r="A5" s="39" t="str">
        <x:v>R0014</x:v>
      </x:c>
      <x:c r="B5" s="44" t="n">
        <x:v>46124</x:v>
      </x:c>
      <x:c r="C5" s="48" t="n">
        <x:v>46113</x:v>
      </x:c>
      <x:c r="D5" s="39" t="str">
        <x:v>営業2課</x:v>
      </x:c>
      <x:c r="E5" s="39" t="str">
        <x:v>鈴木花子</x:v>
      </x:c>
      <x:c r="F5" s="39" t="str">
        <x:v>関西</x:v>
      </x:c>
      <x:c r="G5" s="39" t="str">
        <x:v>既存</x:v>
      </x:c>
      <x:c r="H5" s="39" t="str">
        <x:v>導入</x:v>
      </x:c>
      <x:c r="I5" s="39" t="str">
        <x:v>導入B</x:v>
      </x:c>
      <x:c r="J5" s="52" t="n">
        <x:v>1</x:v>
      </x:c>
      <x:c r="K5" s="56" t="n">
        <x:v>80000</x:v>
      </x:c>
      <x:c r="L5" s="56" t="n">
        <x:v>80000</x:v>
      </x:c>
      <x:c r="M5" s="39" t="str">
        <x:v>完了</x:v>
      </x:c>
      <x:c r="N5" s="39" t="str">
        <x:v>紹介</x:v>
      </x:c>
      <x:c r="O5" s="39" t="str">
        <x:v>可視化追加</x:v>
      </x:c>
      <x:c r="Q5" s="106"/>
      <x:c r="R5" s="106"/>
      <x:c r="S5" s="106"/>
      <x:c r="T5" s="106"/>
      <x:c r="U5" s="106"/>
    </x:row>
    <x:row r="6">
      <x:c r="A6" s="39" t="str">
        <x:v>R0015</x:v>
      </x:c>
      <x:c r="B6" s="44" t="n">
        <x:v>46132</x:v>
      </x:c>
      <x:c r="C6" s="48" t="n">
        <x:v>46113</x:v>
      </x:c>
      <x:c r="D6" s="39" t="str">
        <x:v>技術部</x:v>
      </x:c>
      <x:c r="E6" s="39" t="str">
        <x:v>高橋健</x:v>
      </x:c>
      <x:c r="F6" s="39" t="str">
        <x:v>中部</x:v>
      </x:c>
      <x:c r="G6" s="39" t="str">
        <x:v>新規</x:v>
      </x:c>
      <x:c r="H6" s="39" t="str">
        <x:v>研修</x:v>
      </x:c>
      <x:c r="I6" s="39" t="str">
        <x:v>研修C</x:v>
      </x:c>
      <x:c r="J6" s="52" t="n">
        <x:v>2</x:v>
      </x:c>
      <x:c r="K6" s="56" t="n">
        <x:v>50000</x:v>
      </x:c>
      <x:c r="L6" s="56" t="n">
        <x:v>100000</x:v>
      </x:c>
      <x:c r="M6" s="39" t="str">
        <x:v>進行中</x:v>
      </x:c>
      <x:c r="N6" s="39" t="str">
        <x:v>電話</x:v>
      </x:c>
      <x:c r="O6" s="39" t="str">
        <x:v>可視化追加</x:v>
      </x:c>
    </x:row>
    <x:row r="7">
      <x:c r="A7" s="39" t="str">
        <x:v>R0001</x:v>
      </x:c>
      <x:c r="B7" s="44" t="n">
        <x:v>46143</x:v>
      </x:c>
      <x:c r="C7" s="48" t="n">
        <x:v>46143</x:v>
      </x:c>
      <x:c r="D7" s="39" t="str">
        <x:v>営業1課</x:v>
      </x:c>
      <x:c r="E7" s="39" t="str">
        <x:v>佐藤太郎</x:v>
      </x:c>
      <x:c r="F7" s="39" t="str">
        <x:v>関西</x:v>
      </x:c>
      <x:c r="G7" s="39" t="str">
        <x:v>新規</x:v>
      </x:c>
      <x:c r="H7" s="39" t="str">
        <x:v>保守</x:v>
      </x:c>
      <x:c r="I7" s="39" t="str">
        <x:v>保守A</x:v>
      </x:c>
      <x:c r="J7" s="52" t="n">
        <x:v>1</x:v>
      </x:c>
      <x:c r="K7" s="56" t="n">
        <x:v>120000</x:v>
      </x:c>
      <x:c r="L7" s="56" t="n">
        <x:v>120000</x:v>
      </x:c>
      <x:c r="M7" s="39" t="str">
        <x:v>完了</x:v>
      </x:c>
      <x:c r="N7" s="39" t="str">
        <x:v>Web</x:v>
      </x:c>
      <x:c r="O7" s="39" t="str"/>
    </x:row>
    <x:row r="8">
      <x:c r="A8" s="39" t="str">
        <x:v>R0002</x:v>
      </x:c>
      <x:c r="B8" s="44" t="n">
        <x:v>46144</x:v>
      </x:c>
      <x:c r="C8" s="48" t="n">
        <x:v>46143</x:v>
      </x:c>
      <x:c r="D8" s="39" t="str">
        <x:v>営業1課</x:v>
      </x:c>
      <x:c r="E8" s="39" t="str">
        <x:v>佐藤太郎</x:v>
      </x:c>
      <x:c r="F8" s="39" t="str">
        <x:v>関西</x:v>
      </x:c>
      <x:c r="G8" s="39" t="str">
        <x:v>既存</x:v>
      </x:c>
      <x:c r="H8" s="39" t="str">
        <x:v>導入</x:v>
      </x:c>
      <x:c r="I8" s="39" t="str">
        <x:v>導入B</x:v>
      </x:c>
      <x:c r="J8" s="52" t="n">
        <x:v>2</x:v>
      </x:c>
      <x:c r="K8" s="56" t="n">
        <x:v>80000</x:v>
      </x:c>
      <x:c r="L8" s="56" t="n">
        <x:v>160000</x:v>
      </x:c>
      <x:c r="M8" s="39" t="str">
        <x:v>進行中</x:v>
      </x:c>
      <x:c r="N8" s="39" t="str">
        <x:v>紹介</x:v>
      </x:c>
      <x:c r="O8" s="39" t="str"/>
    </x:row>
    <x:row r="9">
      <x:c r="A9" s="39" t="str">
        <x:v>R0003</x:v>
      </x:c>
      <x:c r="B9" s="44" t="n">
        <x:v>46145</x:v>
      </x:c>
      <x:c r="C9" s="48" t="n">
        <x:v>46143</x:v>
      </x:c>
      <x:c r="D9" s="39" t="str">
        <x:v>営業1課</x:v>
      </x:c>
      <x:c r="E9" s="39" t="str">
        <x:v>山本直子</x:v>
      </x:c>
      <x:c r="F9" s="39" t="str">
        <x:v>中部</x:v>
      </x:c>
      <x:c r="G9" s="39" t="str">
        <x:v>新規</x:v>
      </x:c>
      <x:c r="H9" s="39" t="str">
        <x:v>研修</x:v>
      </x:c>
      <x:c r="I9" s="39" t="str">
        <x:v>研修C</x:v>
      </x:c>
      <x:c r="J9" s="52" t="n">
        <x:v>3</x:v>
      </x:c>
      <x:c r="K9" s="56" t="n">
        <x:v>50000</x:v>
      </x:c>
      <x:c r="L9" s="56" t="n">
        <x:v>150000</x:v>
      </x:c>
      <x:c r="M9" s="39" t="str">
        <x:v>完了</x:v>
      </x:c>
      <x:c r="N9" s="39" t="str">
        <x:v>電話</x:v>
      </x:c>
      <x:c r="O9" s="39" t="str"/>
    </x:row>
    <x:row r="10">
      <x:c r="A10" s="39" t="str">
        <x:v>R0004</x:v>
      </x:c>
      <x:c r="B10" s="44" t="n">
        <x:v>46146</x:v>
      </x:c>
      <x:c r="C10" s="48" t="n">
        <x:v>46143</x:v>
      </x:c>
      <x:c r="D10" s="39" t="str">
        <x:v>営業1課</x:v>
      </x:c>
      <x:c r="E10" s="39" t="str">
        <x:v>山本直子</x:v>
      </x:c>
      <x:c r="F10" s="39" t="str">
        <x:v>関東</x:v>
      </x:c>
      <x:c r="G10" s="39" t="str">
        <x:v>既存</x:v>
      </x:c>
      <x:c r="H10" s="39" t="str">
        <x:v>保守</x:v>
      </x:c>
      <x:c r="I10" s="39" t="str">
        <x:v>保守A</x:v>
      </x:c>
      <x:c r="J10" s="52" t="n">
        <x:v>1</x:v>
      </x:c>
      <x:c r="K10" s="56" t="n">
        <x:v>120000</x:v>
      </x:c>
      <x:c r="L10" s="56" t="n">
        <x:v>120000</x:v>
      </x:c>
      <x:c r="M10" s="39" t="str">
        <x:v>完了</x:v>
      </x:c>
      <x:c r="N10" s="39" t="str">
        <x:v>Web</x:v>
      </x:c>
      <x:c r="O10" s="39" t="str">
        <x:v>表記確認</x:v>
      </x:c>
    </x:row>
    <x:row r="11">
      <x:c r="A11" s="39" t="str">
        <x:v>R0005</x:v>
      </x:c>
      <x:c r="B11" s="44" t="n">
        <x:v>46143</x:v>
      </x:c>
      <x:c r="C11" s="48" t="n">
        <x:v>46143</x:v>
      </x:c>
      <x:c r="D11" s="39" t="str">
        <x:v>営業2課</x:v>
      </x:c>
      <x:c r="E11" s="39" t="str">
        <x:v>鈴木花子</x:v>
      </x:c>
      <x:c r="F11" s="39" t="str">
        <x:v>関東</x:v>
      </x:c>
      <x:c r="G11" s="39" t="str">
        <x:v>新規</x:v>
      </x:c>
      <x:c r="H11" s="39" t="str">
        <x:v>導入</x:v>
      </x:c>
      <x:c r="I11" s="39" t="str">
        <x:v>導入B</x:v>
      </x:c>
      <x:c r="J11" s="52" t="n">
        <x:v>1</x:v>
      </x:c>
      <x:c r="K11" s="56" t="n">
        <x:v>80000</x:v>
      </x:c>
      <x:c r="L11" s="56" t="n">
        <x:v>80000</x:v>
      </x:c>
      <x:c r="M11" s="39" t="str">
        <x:v>完了</x:v>
      </x:c>
      <x:c r="N11" s="39" t="str">
        <x:v>紹介</x:v>
      </x:c>
      <x:c r="O11" s="39" t="str"/>
    </x:row>
    <x:row r="12">
      <x:c r="A12" s="39" t="str">
        <x:v>R0006</x:v>
      </x:c>
      <x:c r="B12" s="44" t="n">
        <x:v>46144</x:v>
      </x:c>
      <x:c r="C12" s="48" t="n">
        <x:v>46143</x:v>
      </x:c>
      <x:c r="D12" s="39" t="str">
        <x:v>営業2課</x:v>
      </x:c>
      <x:c r="E12" s="39" t="str">
        <x:v>鈴木花子</x:v>
      </x:c>
      <x:c r="F12" s="39" t="str">
        <x:v>関東</x:v>
      </x:c>
      <x:c r="G12" s="39" t="str">
        <x:v>既存</x:v>
      </x:c>
      <x:c r="H12" s="39" t="str">
        <x:v>保守</x:v>
      </x:c>
      <x:c r="I12" s="39" t="str">
        <x:v>保守A</x:v>
      </x:c>
      <x:c r="J12" s="52" t="n">
        <x:v>2</x:v>
      </x:c>
      <x:c r="K12" s="56" t="n">
        <x:v>120000</x:v>
      </x:c>
      <x:c r="L12" s="56" t="n">
        <x:v>240000</x:v>
      </x:c>
      <x:c r="M12" s="39" t="str">
        <x:v>完了</x:v>
      </x:c>
      <x:c r="N12" s="39" t="str">
        <x:v>Web</x:v>
      </x:c>
      <x:c r="O12" s="39" t="str"/>
    </x:row>
    <x:row r="13">
      <x:c r="A13" s="39" t="str">
        <x:v>R0007</x:v>
      </x:c>
      <x:c r="B13" s="44" t="n">
        <x:v>46147</x:v>
      </x:c>
      <x:c r="C13" s="48" t="n">
        <x:v>46143</x:v>
      </x:c>
      <x:c r="D13" s="39" t="str">
        <x:v>営業2課</x:v>
      </x:c>
      <x:c r="E13" s="39" t="str">
        <x:v>田中一郎</x:v>
      </x:c>
      <x:c r="F13" s="39" t="str">
        <x:v>関西</x:v>
      </x:c>
      <x:c r="G13" s="39" t="str">
        <x:v>新規</x:v>
      </x:c>
      <x:c r="H13" s="39" t="str">
        <x:v>研修</x:v>
      </x:c>
      <x:c r="I13" s="39" t="str">
        <x:v>研修C</x:v>
      </x:c>
      <x:c r="J13" s="52" t="n">
        <x:v>2</x:v>
      </x:c>
      <x:c r="K13" s="56" t="n">
        <x:v>50000</x:v>
      </x:c>
      <x:c r="L13" s="56" t="n">
        <x:v>100000</x:v>
      </x:c>
      <x:c r="M13" s="39" t="str">
        <x:v>進行中</x:v>
      </x:c>
      <x:c r="N13" s="39" t="str">
        <x:v>イベント</x:v>
      </x:c>
      <x:c r="O13" s="39" t="str"/>
    </x:row>
    <x:row r="14">
      <x:c r="A14" s="39" t="str">
        <x:v>R0008</x:v>
      </x:c>
      <x:c r="B14" s="44" t="n">
        <x:v>46148</x:v>
      </x:c>
      <x:c r="C14" s="48" t="n">
        <x:v>46143</x:v>
      </x:c>
      <x:c r="D14" s="39" t="str">
        <x:v>営業2課</x:v>
      </x:c>
      <x:c r="E14" s="39" t="str">
        <x:v>田中一郎</x:v>
      </x:c>
      <x:c r="F14" s="39" t="str">
        <x:v>中部</x:v>
      </x:c>
      <x:c r="G14" s="39" t="str">
        <x:v>既存</x:v>
      </x:c>
      <x:c r="H14" s="39" t="str">
        <x:v>導入</x:v>
      </x:c>
      <x:c r="I14" s="39" t="str">
        <x:v>導入B</x:v>
      </x:c>
      <x:c r="J14" s="52" t="n">
        <x:v>3</x:v>
      </x:c>
      <x:c r="K14" s="56" t="n">
        <x:v>80000</x:v>
      </x:c>
      <x:c r="L14" s="56" t="n">
        <x:v>240000</x:v>
      </x:c>
      <x:c r="M14" s="39" t="str">
        <x:v>完了</x:v>
      </x:c>
      <x:c r="N14" s="39" t="str">
        <x:v>電話</x:v>
      </x:c>
      <x:c r="O14" s="39" t="str"/>
    </x:row>
    <x:row r="15">
      <x:c r="A15" s="39" t="str">
        <x:v>R0009</x:v>
      </x:c>
      <x:c r="B15" s="44" t="n">
        <x:v>46144</x:v>
      </x:c>
      <x:c r="C15" s="48" t="n">
        <x:v>46143</x:v>
      </x:c>
      <x:c r="D15" s="39" t="str">
        <x:v>技術部</x:v>
      </x:c>
      <x:c r="E15" s="39" t="str">
        <x:v>高橋健</x:v>
      </x:c>
      <x:c r="F15" s="39" t="str">
        <x:v>関西</x:v>
      </x:c>
      <x:c r="G15" s="39" t="str">
        <x:v>既存</x:v>
      </x:c>
      <x:c r="H15" s="39" t="str">
        <x:v>保守</x:v>
      </x:c>
      <x:c r="I15" s="39" t="str">
        <x:v>保守A</x:v>
      </x:c>
      <x:c r="J15" s="52" t="n">
        <x:v>1</x:v>
      </x:c>
      <x:c r="K15" s="56" t="n">
        <x:v>120000</x:v>
      </x:c>
      <x:c r="L15" s="56" t="n">
        <x:v>120000</x:v>
      </x:c>
      <x:c r="M15" s="39" t="str">
        <x:v>完了</x:v>
      </x:c>
      <x:c r="N15" s="39" t="str">
        <x:v>紹介</x:v>
      </x:c>
      <x:c r="O15" s="39" t="str"/>
    </x:row>
    <x:row r="16">
      <x:c r="A16" s="39" t="str">
        <x:v>R0010</x:v>
      </x:c>
      <x:c r="B16" s="44" t="n">
        <x:v>46145</x:v>
      </x:c>
      <x:c r="C16" s="48" t="n">
        <x:v>46143</x:v>
      </x:c>
      <x:c r="D16" s="39" t="str">
        <x:v>技術部</x:v>
      </x:c>
      <x:c r="E16" s="39" t="str">
        <x:v>高橋健</x:v>
      </x:c>
      <x:c r="F16" s="39" t="str">
        <x:v>関東</x:v>
      </x:c>
      <x:c r="G16" s="39" t="str">
        <x:v>新規</x:v>
      </x:c>
      <x:c r="H16" s="39" t="str">
        <x:v>導入</x:v>
      </x:c>
      <x:c r="I16" s="39" t="str">
        <x:v>導入B</x:v>
      </x:c>
      <x:c r="J16" s="52" t="n">
        <x:v>2</x:v>
      </x:c>
      <x:c r="K16" s="56" t="n">
        <x:v>80000</x:v>
      </x:c>
      <x:c r="L16" s="56" t="n">
        <x:v>160000</x:v>
      </x:c>
      <x:c r="M16" s="39" t="str">
        <x:v>進行中</x:v>
      </x:c>
      <x:c r="N16" s="39" t="str">
        <x:v>Web</x:v>
      </x:c>
      <x:c r="O16" s="39" t="str"/>
    </x:row>
    <x:row r="17">
      <x:c r="A17" s="39" t="str">
        <x:v>R0011</x:v>
      </x:c>
      <x:c r="B17" s="44" t="n">
        <x:v>46149</x:v>
      </x:c>
      <x:c r="C17" s="48" t="n">
        <x:v>46143</x:v>
      </x:c>
      <x:c r="D17" s="39" t="str">
        <x:v>技術部</x:v>
      </x:c>
      <x:c r="E17" s="39" t="str">
        <x:v>伊藤美咲</x:v>
      </x:c>
      <x:c r="F17" s="39" t="str">
        <x:v>中部</x:v>
      </x:c>
      <x:c r="G17" s="39" t="str">
        <x:v>既存</x:v>
      </x:c>
      <x:c r="H17" s="39" t="str">
        <x:v>研修</x:v>
      </x:c>
      <x:c r="I17" s="39" t="str">
        <x:v>研修C</x:v>
      </x:c>
      <x:c r="J17" s="52" t="n">
        <x:v>1</x:v>
      </x:c>
      <x:c r="K17" s="56" t="n">
        <x:v>50000</x:v>
      </x:c>
      <x:c r="L17" s="56" t="n">
        <x:v>50000</x:v>
      </x:c>
      <x:c r="M17" s="39" t="str">
        <x:v>完了</x:v>
      </x:c>
      <x:c r="N17" s="39" t="str">
        <x:v>イベント</x:v>
      </x:c>
      <x:c r="O17" s="39" t="str"/>
    </x:row>
    <x:row r="18">
      <x:c r="A18" s="39" t="str">
        <x:v>R0012</x:v>
      </x:c>
      <x:c r="B18" s="44" t="n">
        <x:v>46150</x:v>
      </x:c>
      <x:c r="C18" s="48" t="n">
        <x:v>46143</x:v>
      </x:c>
      <x:c r="D18" s="39" t="str">
        <x:v>技術部</x:v>
      </x:c>
      <x:c r="E18" s="39" t="str">
        <x:v>伊藤美咲</x:v>
      </x:c>
      <x:c r="F18" s="39" t="str">
        <x:v>関西</x:v>
      </x:c>
      <x:c r="G18" s="39" t="str">
        <x:v>新規</x:v>
      </x:c>
      <x:c r="H18" s="39" t="str">
        <x:v>保守</x:v>
      </x:c>
      <x:c r="I18" s="39" t="str">
        <x:v>保守A</x:v>
      </x:c>
      <x:c r="J18" s="52" t="n">
        <x:v>2</x:v>
      </x:c>
      <x:c r="K18" s="56" t="n">
        <x:v>120000</x:v>
      </x:c>
      <x:c r="L18" s="56" t="n">
        <x:v>240000</x:v>
      </x:c>
      <x:c r="M18" s="39" t="str">
        <x:v>完了</x:v>
      </x:c>
      <x:c r="N18" s="39" t="str">
        <x:v>電話</x:v>
      </x:c>
      <x:c r="O18" s="39" t="str"/>
    </x:row>
    <x:row r="19">
      <x:c r="A19" s="39" t="str">
        <x:v>R0016</x:v>
      </x:c>
      <x:c r="B19" s="44" t="n">
        <x:v>46176</x:v>
      </x:c>
      <x:c r="C19" s="48" t="n">
        <x:v>46174</x:v>
      </x:c>
      <x:c r="D19" s="39" t="str">
        <x:v>営業1課</x:v>
      </x:c>
      <x:c r="E19" s="39" t="str">
        <x:v>山本直子</x:v>
      </x:c>
      <x:c r="F19" s="39" t="str">
        <x:v>関西</x:v>
      </x:c>
      <x:c r="G19" s="39" t="str">
        <x:v>既存</x:v>
      </x:c>
      <x:c r="H19" s="39" t="str">
        <x:v>保守</x:v>
      </x:c>
      <x:c r="I19" s="39" t="str">
        <x:v>保守A</x:v>
      </x:c>
      <x:c r="J19" s="52" t="n">
        <x:v>1</x:v>
      </x:c>
      <x:c r="K19" s="56" t="n">
        <x:v>120000</x:v>
      </x:c>
      <x:c r="L19" s="56" t="n">
        <x:v>120000</x:v>
      </x:c>
      <x:c r="M19" s="39" t="str">
        <x:v>完了</x:v>
      </x:c>
      <x:c r="N19" s="39" t="str">
        <x:v>紹介</x:v>
      </x:c>
      <x:c r="O19" s="39" t="str">
        <x:v>可視化追加</x:v>
      </x:c>
    </x:row>
    <x:row r="20">
      <x:c r="A20" s="39" t="str">
        <x:v>R0017</x:v>
      </x:c>
      <x:c r="B20" s="44" t="n">
        <x:v>46183</x:v>
      </x:c>
      <x:c r="C20" s="48" t="n">
        <x:v>46174</x:v>
      </x:c>
      <x:c r="D20" s="39" t="str">
        <x:v>営業2課</x:v>
      </x:c>
      <x:c r="E20" s="39" t="str">
        <x:v>田中一郎</x:v>
      </x:c>
      <x:c r="F20" s="39" t="str">
        <x:v>関東</x:v>
      </x:c>
      <x:c r="G20" s="39" t="str">
        <x:v>新規</x:v>
      </x:c>
      <x:c r="H20" s="39" t="str">
        <x:v>導入</x:v>
      </x:c>
      <x:c r="I20" s="39" t="str">
        <x:v>導入B</x:v>
      </x:c>
      <x:c r="J20" s="52" t="n">
        <x:v>2</x:v>
      </x:c>
      <x:c r="K20" s="56" t="n">
        <x:v>80000</x:v>
      </x:c>
      <x:c r="L20" s="56" t="n">
        <x:v>160000</x:v>
      </x:c>
      <x:c r="M20" s="39" t="str">
        <x:v>進行中</x:v>
      </x:c>
      <x:c r="N20" s="39" t="str">
        <x:v>Web</x:v>
      </x:c>
      <x:c r="O20" s="39" t="str">
        <x:v>可視化追加</x:v>
      </x:c>
    </x:row>
    <x:row r="21">
      <x:c r="A21" s="39" t="str">
        <x:v>R0018</x:v>
      </x:c>
      <x:c r="B21" s="44" t="n">
        <x:v>46191</x:v>
      </x:c>
      <x:c r="C21" s="48" t="n">
        <x:v>46174</x:v>
      </x:c>
      <x:c r="D21" s="39" t="str">
        <x:v>技術部</x:v>
      </x:c>
      <x:c r="E21" s="39" t="str">
        <x:v>伊藤美咲</x:v>
      </x:c>
      <x:c r="F21" s="39" t="str">
        <x:v>中部</x:v>
      </x:c>
      <x:c r="G21" s="39" t="str">
        <x:v>既存</x:v>
      </x:c>
      <x:c r="H21" s="39" t="str">
        <x:v>研修</x:v>
      </x:c>
      <x:c r="I21" s="39" t="str">
        <x:v>研修C</x:v>
      </x:c>
      <x:c r="J21" s="52" t="n">
        <x:v>1</x:v>
      </x:c>
      <x:c r="K21" s="56" t="n">
        <x:v>50000</x:v>
      </x:c>
      <x:c r="L21" s="56" t="n">
        <x:v>50000</x:v>
      </x:c>
      <x:c r="M21" s="39" t="str">
        <x:v>完了</x:v>
      </x:c>
      <x:c r="N21" s="39" t="str">
        <x:v>イベント</x:v>
      </x:c>
      <x:c r="O21" s="39" t="str">
        <x:v>可視化追加</x:v>
      </x:c>
    </x:row>
    <x:row r="22">
      <x:c r="A22"/>
      <x:c r="B22" s="45"/>
      <x:c r="C22" s="49"/>
      <x:c r="D22"/>
      <x:c r="E22"/>
      <x:c r="F22"/>
      <x:c r="G22"/>
      <x:c r="H22"/>
      <x:c r="I22"/>
      <x:c r="J22" s="53"/>
      <x:c r="K22" s="57"/>
      <x:c r="L22" s="57"/>
      <x:c r="M22"/>
      <x:c r="N22"/>
      <x:c r="O22"/>
    </x:row>
    <x:row r="23">
      <x:c r="A23" s="70"/>
      <x:c r="B23" s="71"/>
      <x:c r="C23" s="72"/>
      <x:c r="D23" s="70"/>
      <x:c r="E23" s="70"/>
      <x:c r="F23" s="70"/>
      <x:c r="G23" s="70"/>
      <x:c r="H23" s="70"/>
      <x:c r="I23" s="70"/>
      <x:c r="J23" s="73"/>
      <x:c r="K23" s="74"/>
      <x:c r="L23" s="74"/>
      <x:c r="M23" s="70"/>
      <x:c r="N23" s="70"/>
      <x:c r="O23" s="70"/>
    </x:row>
    <x:row r="24">
      <x:c r="A24"/>
      <x:c r="B24" s="45"/>
      <x:c r="C24" s="49"/>
      <x:c r="D24"/>
      <x:c r="E24"/>
      <x:c r="F24"/>
      <x:c r="G24"/>
      <x:c r="H24"/>
      <x:c r="I24"/>
      <x:c r="J24" s="53"/>
      <x:c r="K24" s="57"/>
      <x:c r="L24" s="57"/>
      <x:c r="M24"/>
      <x:c r="N24"/>
      <x:c r="O24"/>
    </x:row>
    <x:row r="25">
      <x:c r="A25"/>
      <x:c r="B25" s="45"/>
      <x:c r="C25" s="49"/>
      <x:c r="D25"/>
      <x:c r="E25"/>
      <x:c r="F25"/>
      <x:c r="G25"/>
      <x:c r="H25"/>
      <x:c r="I25"/>
      <x:c r="J25" s="53"/>
      <x:c r="K25" s="57"/>
      <x:c r="L25" s="57"/>
      <x:c r="M25"/>
      <x:c r="N25"/>
      <x:c r="O25"/>
    </x:row>
    <x:row r="26">
      <x:c r="A26"/>
      <x:c r="B26" s="45"/>
      <x:c r="C26" s="49"/>
      <x:c r="D26"/>
      <x:c r="E26"/>
      <x:c r="F26"/>
      <x:c r="G26"/>
      <x:c r="H26"/>
      <x:c r="I26"/>
      <x:c r="J26" s="53"/>
      <x:c r="K26" s="57"/>
      <x:c r="L26" s="57"/>
      <x:c r="M26"/>
      <x:c r="N26"/>
      <x:c r="O26"/>
    </x:row>
    <x:row r="27">
      <x:c r="A27"/>
      <x:c r="B27" s="45"/>
      <x:c r="C27" s="49"/>
      <x:c r="D27"/>
      <x:c r="E27"/>
      <x:c r="F27"/>
      <x:c r="G27"/>
      <x:c r="H27"/>
      <x:c r="I27"/>
      <x:c r="J27" s="53"/>
      <x:c r="K27" s="57"/>
      <x:c r="L27" s="57"/>
      <x:c r="M27"/>
      <x:c r="N27"/>
      <x:c r="O27"/>
    </x:row>
    <x:row r="28">
      <x:c r="B28" s="45"/>
      <x:c r="C28" s="49"/>
      <x:c r="J28" s="53"/>
      <x:c r="K28" s="57"/>
      <x:c r="L28" s="57"/>
    </x:row>
    <x:row r="29">
      <x:c r="B29" s="45"/>
      <x:c r="C29" s="49"/>
      <x:c r="J29" s="53"/>
      <x:c r="K29" s="57"/>
      <x:c r="L29" s="57"/>
    </x:row>
    <x:row r="30">
      <x:c r="B30" s="45"/>
      <x:c r="C30" s="49"/>
      <x:c r="J30" s="53"/>
      <x:c r="K30" s="57"/>
      <x:c r="L30" s="57"/>
    </x:row>
    <x:row r="31">
      <x:c r="B31" s="45"/>
      <x:c r="C31" s="49"/>
      <x:c r="J31" s="53"/>
      <x:c r="K31" s="57"/>
      <x:c r="L31" s="57"/>
    </x:row>
    <x:row r="32">
      <x:c r="B32" s="45"/>
      <x:c r="C32" s="49"/>
      <x:c r="J32" s="53"/>
      <x:c r="K32" s="57"/>
      <x:c r="L32" s="57"/>
    </x:row>
    <x:row r="33">
      <x:c r="B33" s="45"/>
      <x:c r="C33" s="49"/>
      <x:c r="J33" s="53"/>
      <x:c r="K33" s="57"/>
      <x:c r="L33" s="57"/>
    </x:row>
    <x:row r="34">
      <x:c r="B34" s="45"/>
      <x:c r="C34" s="49"/>
      <x:c r="J34" s="53"/>
      <x:c r="K34" s="57"/>
      <x:c r="L34" s="57"/>
    </x:row>
    <x:row r="35">
      <x:c r="B35" s="45"/>
      <x:c r="C35" s="49"/>
      <x:c r="J35" s="53"/>
      <x:c r="K35" s="57"/>
      <x:c r="L35" s="57"/>
    </x:row>
    <x:row r="36">
      <x:c r="B36" s="45"/>
      <x:c r="C36" s="49"/>
      <x:c r="J36" s="53"/>
      <x:c r="K36" s="57"/>
      <x:c r="L36" s="57"/>
    </x:row>
    <x:row r="37">
      <x:c r="B37" s="45"/>
      <x:c r="C37" s="49"/>
      <x:c r="J37" s="53"/>
      <x:c r="K37" s="57"/>
      <x:c r="L37" s="57"/>
    </x:row>
    <x:row r="38">
      <x:c r="B38" s="45"/>
      <x:c r="C38" s="49"/>
      <x:c r="J38" s="53"/>
      <x:c r="K38" s="57"/>
      <x:c r="L38" s="57"/>
    </x:row>
    <x:row r="39">
      <x:c r="B39" s="45"/>
      <x:c r="C39" s="49"/>
      <x:c r="J39" s="53"/>
      <x:c r="K39" s="57"/>
      <x:c r="L39" s="57"/>
    </x:row>
    <x:row r="40">
      <x:c r="B40" s="45"/>
      <x:c r="C40" s="49"/>
      <x:c r="J40" s="53"/>
      <x:c r="K40" s="57"/>
      <x:c r="L40" s="57"/>
    </x:row>
    <x:row r="41">
      <x:c r="B41" s="45"/>
      <x:c r="C41" s="49"/>
      <x:c r="J41" s="53"/>
      <x:c r="K41" s="57"/>
      <x:c r="L41" s="57"/>
    </x:row>
    <x:row r="42">
      <x:c r="B42" s="45"/>
      <x:c r="C42" s="49"/>
      <x:c r="J42" s="53"/>
      <x:c r="K42" s="57"/>
      <x:c r="L42" s="57"/>
    </x:row>
    <x:row r="43">
      <x:c r="B43" s="45"/>
      <x:c r="C43" s="49"/>
      <x:c r="J43" s="53"/>
      <x:c r="K43" s="57"/>
      <x:c r="L43" s="57"/>
    </x:row>
    <x:row r="44">
      <x:c r="B44" s="45"/>
      <x:c r="C44" s="49"/>
      <x:c r="J44" s="53"/>
      <x:c r="K44" s="57"/>
      <x:c r="L44" s="57"/>
    </x:row>
    <x:row r="45">
      <x:c r="B45" s="45"/>
      <x:c r="C45" s="49"/>
      <x:c r="J45" s="53"/>
      <x:c r="K45" s="57"/>
      <x:c r="L45" s="57"/>
    </x:row>
    <x:row r="46">
      <x:c r="B46" s="45"/>
      <x:c r="C46" s="49"/>
      <x:c r="J46" s="53"/>
      <x:c r="K46" s="57"/>
      <x:c r="L46" s="57"/>
    </x:row>
    <x:row r="47">
      <x:c r="B47" s="45"/>
      <x:c r="C47" s="49"/>
      <x:c r="J47" s="53"/>
      <x:c r="K47" s="57"/>
      <x:c r="L47" s="57"/>
    </x:row>
    <x:row r="48">
      <x:c r="B48" s="45"/>
      <x:c r="C48" s="49"/>
      <x:c r="J48" s="53"/>
      <x:c r="K48" s="57"/>
      <x:c r="L48" s="57"/>
    </x:row>
    <x:row r="49">
      <x:c r="B49" s="45"/>
      <x:c r="C49" s="49"/>
      <x:c r="J49" s="53"/>
      <x:c r="K49" s="57"/>
      <x:c r="L49" s="57"/>
    </x:row>
    <x:row r="50">
      <x:c r="B50" s="45"/>
      <x:c r="C50" s="49"/>
      <x:c r="J50" s="53"/>
      <x:c r="K50" s="57"/>
      <x:c r="L50" s="57"/>
    </x:row>
    <x:row r="51">
      <x:c r="B51" s="45"/>
      <x:c r="C51" s="49"/>
      <x:c r="J51" s="53"/>
      <x:c r="K51" s="57"/>
      <x:c r="L51" s="57"/>
    </x:row>
    <x:row r="52">
      <x:c r="B52" s="45"/>
      <x:c r="C52" s="49"/>
      <x:c r="J52" s="53"/>
      <x:c r="K52" s="57"/>
      <x:c r="L52" s="57"/>
    </x:row>
    <x:row r="53">
      <x:c r="B53" s="45"/>
      <x:c r="C53" s="49"/>
      <x:c r="J53" s="53"/>
      <x:c r="K53" s="57"/>
      <x:c r="L53" s="57"/>
    </x:row>
    <x:row r="54">
      <x:c r="B54" s="45"/>
      <x:c r="C54" s="49"/>
      <x:c r="J54" s="53"/>
      <x:c r="K54" s="57"/>
      <x:c r="L54" s="57"/>
    </x:row>
    <x:row r="55">
      <x:c r="B55" s="45"/>
      <x:c r="C55" s="49"/>
      <x:c r="J55" s="53"/>
      <x:c r="K55" s="57"/>
      <x:c r="L55" s="57"/>
    </x:row>
    <x:row r="56">
      <x:c r="B56" s="45"/>
      <x:c r="C56" s="49"/>
      <x:c r="J56" s="53"/>
      <x:c r="K56" s="57"/>
      <x:c r="L56" s="57"/>
    </x:row>
    <x:row r="57">
      <x:c r="B57" s="45"/>
      <x:c r="C57" s="49"/>
      <x:c r="J57" s="53"/>
      <x:c r="K57" s="57"/>
      <x:c r="L57" s="57"/>
    </x:row>
    <x:row r="58">
      <x:c r="B58" s="45"/>
      <x:c r="C58" s="49"/>
      <x:c r="J58" s="53"/>
      <x:c r="K58" s="57"/>
      <x:c r="L58" s="57"/>
    </x:row>
    <x:row r="59">
      <x:c r="B59" s="45"/>
      <x:c r="C59" s="49"/>
      <x:c r="J59" s="53"/>
      <x:c r="K59" s="57"/>
      <x:c r="L59" s="57"/>
    </x:row>
    <x:row r="60">
      <x:c r="B60" s="45"/>
      <x:c r="C60" s="49"/>
      <x:c r="J60" s="53"/>
      <x:c r="K60" s="57"/>
      <x:c r="L60" s="57"/>
    </x:row>
    <x:row r="61">
      <x:c r="B61" s="45"/>
      <x:c r="C61" s="49"/>
      <x:c r="J61" s="53"/>
      <x:c r="K61" s="57"/>
      <x:c r="L61" s="57"/>
    </x:row>
    <x:row r="62">
      <x:c r="B62" s="45"/>
      <x:c r="C62" s="49"/>
      <x:c r="J62" s="53"/>
      <x:c r="K62" s="57"/>
      <x:c r="L62" s="57"/>
    </x:row>
    <x:row r="63">
      <x:c r="B63" s="45"/>
      <x:c r="C63" s="49"/>
      <x:c r="J63" s="53"/>
      <x:c r="K63" s="57"/>
      <x:c r="L63" s="57"/>
    </x:row>
    <x:row r="64">
      <x:c r="B64" s="45"/>
      <x:c r="C64" s="49"/>
      <x:c r="J64" s="53"/>
      <x:c r="K64" s="57"/>
      <x:c r="L64" s="57"/>
    </x:row>
    <x:row r="65">
      <x:c r="B65" s="45"/>
      <x:c r="C65" s="49"/>
      <x:c r="J65" s="53"/>
      <x:c r="K65" s="57"/>
      <x:c r="L65" s="57"/>
    </x:row>
    <x:row r="66">
      <x:c r="B66" s="45"/>
      <x:c r="C66" s="49"/>
      <x:c r="J66" s="53"/>
      <x:c r="K66" s="57"/>
      <x:c r="L66" s="57"/>
    </x:row>
    <x:row r="67">
      <x:c r="B67" s="45"/>
      <x:c r="C67" s="49"/>
      <x:c r="J67" s="53"/>
      <x:c r="K67" s="57"/>
      <x:c r="L67" s="57"/>
    </x:row>
    <x:row r="68">
      <x:c r="B68" s="45"/>
      <x:c r="C68" s="49"/>
      <x:c r="J68" s="53"/>
      <x:c r="K68" s="57"/>
      <x:c r="L68" s="57"/>
    </x:row>
    <x:row r="69">
      <x:c r="B69" s="45"/>
      <x:c r="C69" s="49"/>
      <x:c r="J69" s="53"/>
      <x:c r="K69" s="57"/>
      <x:c r="L69" s="57"/>
    </x:row>
    <x:row r="70">
      <x:c r="B70" s="45"/>
      <x:c r="C70" s="49"/>
      <x:c r="J70" s="53"/>
      <x:c r="K70" s="57"/>
      <x:c r="L70" s="57"/>
    </x:row>
    <x:row r="71">
      <x:c r="B71" s="45"/>
      <x:c r="C71" s="49"/>
      <x:c r="J71" s="53"/>
      <x:c r="K71" s="57"/>
      <x:c r="L71" s="57"/>
    </x:row>
    <x:row r="72">
      <x:c r="B72" s="45"/>
      <x:c r="C72" s="49"/>
      <x:c r="J72" s="53"/>
      <x:c r="K72" s="57"/>
      <x:c r="L72" s="57"/>
    </x:row>
    <x:row r="73">
      <x:c r="B73" s="45"/>
      <x:c r="C73" s="49"/>
      <x:c r="J73" s="53"/>
      <x:c r="K73" s="57"/>
      <x:c r="L73" s="57"/>
    </x:row>
    <x:row r="74">
      <x:c r="B74" s="45"/>
      <x:c r="C74" s="49"/>
      <x:c r="J74" s="53"/>
      <x:c r="K74" s="57"/>
      <x:c r="L74" s="57"/>
    </x:row>
    <x:row r="75">
      <x:c r="B75" s="45"/>
      <x:c r="C75" s="49"/>
      <x:c r="J75" s="53"/>
      <x:c r="K75" s="57"/>
      <x:c r="L75" s="57"/>
    </x:row>
    <x:row r="76">
      <x:c r="B76" s="45"/>
      <x:c r="C76" s="49"/>
      <x:c r="J76" s="53"/>
      <x:c r="K76" s="57"/>
      <x:c r="L76" s="57"/>
    </x:row>
    <x:row r="77">
      <x:c r="B77" s="45"/>
      <x:c r="C77" s="49"/>
      <x:c r="J77" s="53"/>
      <x:c r="K77" s="57"/>
      <x:c r="L77" s="57"/>
    </x:row>
    <x:row r="78">
      <x:c r="B78" s="45"/>
      <x:c r="C78" s="49"/>
      <x:c r="J78" s="53"/>
      <x:c r="K78" s="57"/>
      <x:c r="L78" s="57"/>
    </x:row>
    <x:row r="79">
      <x:c r="B79" s="45"/>
      <x:c r="C79" s="49"/>
      <x:c r="J79" s="53"/>
      <x:c r="K79" s="57"/>
      <x:c r="L79" s="57"/>
    </x:row>
    <x:row r="80">
      <x:c r="B80" s="45"/>
      <x:c r="C80" s="49"/>
      <x:c r="J80" s="53"/>
      <x:c r="K80" s="57"/>
      <x:c r="L80" s="57"/>
    </x:row>
    <x:row r="81">
      <x:c r="B81" s="45"/>
      <x:c r="C81" s="49"/>
      <x:c r="J81" s="53"/>
      <x:c r="K81" s="57"/>
      <x:c r="L81" s="57"/>
    </x:row>
    <x:row r="82">
      <x:c r="B82" s="45"/>
      <x:c r="C82" s="49"/>
      <x:c r="J82" s="53"/>
      <x:c r="K82" s="57"/>
      <x:c r="L82" s="57"/>
    </x:row>
    <x:row r="83">
      <x:c r="B83" s="45"/>
      <x:c r="C83" s="49"/>
      <x:c r="J83" s="53"/>
      <x:c r="K83" s="57"/>
      <x:c r="L83" s="57"/>
    </x:row>
    <x:row r="84">
      <x:c r="B84" s="45"/>
      <x:c r="C84" s="49"/>
      <x:c r="J84" s="53"/>
      <x:c r="K84" s="57"/>
      <x:c r="L84" s="57"/>
    </x:row>
    <x:row r="85">
      <x:c r="B85" s="45"/>
      <x:c r="C85" s="49"/>
      <x:c r="J85" s="53"/>
      <x:c r="K85" s="57"/>
      <x:c r="L85" s="57"/>
    </x:row>
    <x:row r="86">
      <x:c r="B86" s="45"/>
      <x:c r="C86" s="49"/>
      <x:c r="J86" s="53"/>
      <x:c r="K86" s="57"/>
      <x:c r="L86" s="57"/>
    </x:row>
    <x:row r="87">
      <x:c r="B87" s="45"/>
      <x:c r="C87" s="49"/>
      <x:c r="J87" s="53"/>
      <x:c r="K87" s="57"/>
      <x:c r="L87" s="57"/>
    </x:row>
    <x:row r="88">
      <x:c r="B88" s="45"/>
      <x:c r="C88" s="49"/>
      <x:c r="J88" s="53"/>
      <x:c r="K88" s="57"/>
      <x:c r="L88" s="57"/>
    </x:row>
    <x:row r="89">
      <x:c r="B89" s="45"/>
      <x:c r="C89" s="49"/>
      <x:c r="J89" s="53"/>
      <x:c r="K89" s="57"/>
      <x:c r="L89" s="57"/>
    </x:row>
    <x:row r="90">
      <x:c r="B90" s="45"/>
      <x:c r="C90" s="49"/>
      <x:c r="J90" s="53"/>
      <x:c r="K90" s="57"/>
      <x:c r="L90" s="57"/>
    </x:row>
    <x:row r="91">
      <x:c r="B91" s="45"/>
      <x:c r="C91" s="49"/>
      <x:c r="J91" s="53"/>
      <x:c r="K91" s="57"/>
      <x:c r="L91" s="57"/>
    </x:row>
    <x:row r="92">
      <x:c r="B92" s="45"/>
      <x:c r="C92" s="49"/>
      <x:c r="J92" s="53"/>
      <x:c r="K92" s="57"/>
      <x:c r="L92" s="57"/>
    </x:row>
    <x:row r="93">
      <x:c r="B93" s="45"/>
      <x:c r="C93" s="49"/>
      <x:c r="J93" s="53"/>
      <x:c r="K93" s="57"/>
      <x:c r="L93" s="57"/>
    </x:row>
    <x:row r="94">
      <x:c r="B94" s="45"/>
      <x:c r="C94" s="49"/>
      <x:c r="J94" s="53"/>
      <x:c r="K94" s="57"/>
      <x:c r="L94" s="57"/>
    </x:row>
    <x:row r="95">
      <x:c r="B95" s="45"/>
      <x:c r="C95" s="49"/>
      <x:c r="J95" s="53"/>
      <x:c r="K95" s="57"/>
      <x:c r="L95" s="57"/>
    </x:row>
    <x:row r="96">
      <x:c r="B96" s="45"/>
      <x:c r="C96" s="49"/>
      <x:c r="J96" s="53"/>
      <x:c r="K96" s="57"/>
      <x:c r="L96" s="57"/>
    </x:row>
    <x:row r="97">
      <x:c r="B97" s="45"/>
      <x:c r="C97" s="49"/>
      <x:c r="J97" s="53"/>
      <x:c r="K97" s="57"/>
      <x:c r="L97" s="57"/>
    </x:row>
    <x:row r="98">
      <x:c r="B98" s="45"/>
      <x:c r="C98" s="49"/>
      <x:c r="J98" s="53"/>
      <x:c r="K98" s="57"/>
      <x:c r="L98" s="57"/>
    </x:row>
    <x:row r="99">
      <x:c r="B99" s="45"/>
      <x:c r="C99" s="49"/>
      <x:c r="J99" s="53"/>
      <x:c r="K99" s="57"/>
      <x:c r="L99" s="57"/>
    </x:row>
    <x:row r="100">
      <x:c r="B100" s="45"/>
      <x:c r="C100" s="49"/>
      <x:c r="J100" s="53"/>
      <x:c r="K100" s="57"/>
      <x:c r="L100" s="57"/>
    </x:row>
  </x:sheetData>
  <x:mergeCells>
    <x:mergeCell ref="A1:O2"/>
    <x:mergeCell ref="Q3:U5"/>
  </x:mergeCells>
  <x:pageMargins left="0.7" right="0.7" top="0.75" bottom="0.75" header="0.3" footer="0.3"/>
  <x:tableParts count="1">
    <x:tablePart xmlns:r="http://schemas.openxmlformats.org/officeDocument/2006/relationships" r:id="Re6c4e980afb24ee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13" hidden="0" customWidth="1"/>
    <x:col min="4" max="4" width="15" hidden="0" customWidth="1"/>
    <x:col min="5" max="5" width="18" hidden="0" customWidth="1"/>
    <x:col min="6" max="6" width="12" hidden="0" customWidth="1"/>
    <x:col min="7" max="7" width="15" hidden="0" customWidth="1"/>
    <x:col min="8" max="8" width="22" hidden="0" customWidth="1"/>
    <x:col min="9" max="9" width="18" hidden="0" customWidth="1"/>
    <x:col min="10" max="10" width="11" hidden="0" customWidth="1"/>
    <x:col min="11" max="11" width="14" hidden="0" customWidth="1"/>
    <x:col min="12" max="12" width="16" hidden="0" customWidth="1"/>
    <x:col min="13" max="13" width="15" hidden="0" customWidth="1"/>
    <x:col min="14" max="14" width="16" hidden="0" customWidth="1"/>
    <x:col min="15" max="15" width="24" hidden="0" customWidth="1"/>
  </x:cols>
  <x:sheetData>
    <x:row r="1" ht="34" customHeight="1">
      <x:c r="A1" s="6" t="str">
        <x:v>7月追加データ　見出しを除く6行をコピー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</x:row>
    <x:row r="2" ht="34" customHeight="1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</x:row>
    <x:row r="3">
      <x:c r="A3" s="16" t="str">
        <x:v>実績ID</x:v>
      </x:c>
      <x:c r="B3" s="16" t="str">
        <x:v>実績日</x:v>
      </x:c>
      <x:c r="C3" s="16" t="str">
        <x:v>年月</x:v>
      </x:c>
      <x:c r="D3" s="16" t="str">
        <x:v>部門</x:v>
      </x:c>
      <x:c r="E3" s="16" t="str">
        <x:v>担当者</x:v>
      </x:c>
      <x:c r="F3" s="16" t="str">
        <x:v>地域</x:v>
      </x:c>
      <x:c r="G3" s="16" t="str">
        <x:v>顧客区分</x:v>
      </x:c>
      <x:c r="H3" s="16" t="str">
        <x:v>サービスカテゴリ</x:v>
      </x:c>
      <x:c r="I3" s="16" t="str">
        <x:v>サービス名</x:v>
      </x:c>
      <x:c r="J3" s="16" t="str">
        <x:v>数量</x:v>
      </x:c>
      <x:c r="K3" s="16" t="str">
        <x:v>単価</x:v>
      </x:c>
      <x:c r="L3" s="16" t="str">
        <x:v>売上金額</x:v>
      </x:c>
      <x:c r="M3" s="16" t="str">
        <x:v>ステータス</x:v>
      </x:c>
      <x:c r="N3" s="16" t="str">
        <x:v>受注経路</x:v>
      </x:c>
      <x:c r="O3" s="16" t="str">
        <x:v>備考</x:v>
      </x:c>
    </x:row>
    <x:row r="4">
      <x:c r="A4" s="28" t="str">
        <x:v>R0019</x:v>
      </x:c>
      <x:c r="B4" s="94" t="n">
        <x:v>46205</x:v>
      </x:c>
      <x:c r="C4" s="96" t="n">
        <x:v>46204</x:v>
      </x:c>
      <x:c r="D4" s="28" t="str">
        <x:v>営業1課</x:v>
      </x:c>
      <x:c r="E4" s="28" t="str">
        <x:v>佐藤太郎</x:v>
      </x:c>
      <x:c r="F4" s="28" t="str">
        <x:v>関東</x:v>
      </x:c>
      <x:c r="G4" s="28" t="str">
        <x:v>新規</x:v>
      </x:c>
      <x:c r="H4" s="28" t="str">
        <x:v>保守</x:v>
      </x:c>
      <x:c r="I4" s="28" t="str">
        <x:v>保守A</x:v>
      </x:c>
      <x:c r="J4" s="98" t="n">
        <x:v>1</x:v>
      </x:c>
      <x:c r="K4" s="100" t="n">
        <x:v>120000</x:v>
      </x:c>
      <x:c r="L4" s="100" t="n">
        <x:v>120000</x:v>
      </x:c>
      <x:c r="M4" s="28" t="str">
        <x:v>完了</x:v>
      </x:c>
      <x:c r="N4" s="28" t="str">
        <x:v>Web</x:v>
      </x:c>
      <x:c r="O4" s="28" t="str">
        <x:v>7月更新</x:v>
      </x:c>
    </x:row>
    <x:row r="5">
      <x:c r="A5" s="28" t="str">
        <x:v>R0020</x:v>
      </x:c>
      <x:c r="B5" s="94" t="n">
        <x:v>46208</x:v>
      </x:c>
      <x:c r="C5" s="96" t="n">
        <x:v>46204</x:v>
      </x:c>
      <x:c r="D5" s="28" t="str">
        <x:v>営業1課</x:v>
      </x:c>
      <x:c r="E5" s="28" t="str">
        <x:v>山本直子</x:v>
      </x:c>
      <x:c r="F5" s="28" t="str">
        <x:v>関西</x:v>
      </x:c>
      <x:c r="G5" s="28" t="str">
        <x:v>既存</x:v>
      </x:c>
      <x:c r="H5" s="28" t="str">
        <x:v>導入</x:v>
      </x:c>
      <x:c r="I5" s="28" t="str">
        <x:v>導入B</x:v>
      </x:c>
      <x:c r="J5" s="98" t="n">
        <x:v>2</x:v>
      </x:c>
      <x:c r="K5" s="100" t="n">
        <x:v>80000</x:v>
      </x:c>
      <x:c r="L5" s="100" t="n">
        <x:v>160000</x:v>
      </x:c>
      <x:c r="M5" s="28" t="str">
        <x:v>進行中</x:v>
      </x:c>
      <x:c r="N5" s="28" t="str">
        <x:v>紹介</x:v>
      </x:c>
      <x:c r="O5" s="28" t="str">
        <x:v>7月更新</x:v>
      </x:c>
    </x:row>
    <x:row r="6">
      <x:c r="A6" s="28" t="str">
        <x:v>R0021</x:v>
      </x:c>
      <x:c r="B6" s="94" t="n">
        <x:v>46211</x:v>
      </x:c>
      <x:c r="C6" s="96" t="n">
        <x:v>46204</x:v>
      </x:c>
      <x:c r="D6" s="28" t="str">
        <x:v>営業2課</x:v>
      </x:c>
      <x:c r="E6" s="28" t="str">
        <x:v>鈴木花子</x:v>
      </x:c>
      <x:c r="F6" s="28" t="str">
        <x:v>中部</x:v>
      </x:c>
      <x:c r="G6" s="28" t="str">
        <x:v>新規</x:v>
      </x:c>
      <x:c r="H6" s="28" t="str">
        <x:v>研修</x:v>
      </x:c>
      <x:c r="I6" s="28" t="str">
        <x:v>研修C</x:v>
      </x:c>
      <x:c r="J6" s="98" t="n">
        <x:v>1</x:v>
      </x:c>
      <x:c r="K6" s="100" t="n">
        <x:v>50000</x:v>
      </x:c>
      <x:c r="L6" s="100" t="n">
        <x:v>50000</x:v>
      </x:c>
      <x:c r="M6" s="28" t="str">
        <x:v>完了</x:v>
      </x:c>
      <x:c r="N6" s="28" t="str">
        <x:v>電話</x:v>
      </x:c>
      <x:c r="O6" s="28" t="str">
        <x:v>7月更新</x:v>
      </x:c>
    </x:row>
    <x:row r="7">
      <x:c r="A7" s="28" t="str">
        <x:v>R0022</x:v>
      </x:c>
      <x:c r="B7" s="94" t="n">
        <x:v>46215</x:v>
      </x:c>
      <x:c r="C7" s="96" t="n">
        <x:v>46204</x:v>
      </x:c>
      <x:c r="D7" s="28" t="str">
        <x:v>営業2課</x:v>
      </x:c>
      <x:c r="E7" s="28" t="str">
        <x:v>田中一郎</x:v>
      </x:c>
      <x:c r="F7" s="28" t="str">
        <x:v>関東</x:v>
      </x:c>
      <x:c r="G7" s="28" t="str">
        <x:v>既存</x:v>
      </x:c>
      <x:c r="H7" s="28" t="str">
        <x:v>保守</x:v>
      </x:c>
      <x:c r="I7" s="28" t="str">
        <x:v>保守A</x:v>
      </x:c>
      <x:c r="J7" s="98" t="n">
        <x:v>2</x:v>
      </x:c>
      <x:c r="K7" s="100" t="n">
        <x:v>120000</x:v>
      </x:c>
      <x:c r="L7" s="100" t="n">
        <x:v>240000</x:v>
      </x:c>
      <x:c r="M7" s="28" t="str">
        <x:v>完了</x:v>
      </x:c>
      <x:c r="N7" s="28" t="str">
        <x:v>Web</x:v>
      </x:c>
      <x:c r="O7" s="28" t="str">
        <x:v>7月更新</x:v>
      </x:c>
    </x:row>
    <x:row r="8">
      <x:c r="A8" s="28" t="str">
        <x:v>R0023</x:v>
      </x:c>
      <x:c r="B8" s="94" t="n">
        <x:v>46219</x:v>
      </x:c>
      <x:c r="C8" s="96" t="n">
        <x:v>46204</x:v>
      </x:c>
      <x:c r="D8" s="28" t="str">
        <x:v>技術部</x:v>
      </x:c>
      <x:c r="E8" s="28" t="str">
        <x:v>高橋健</x:v>
      </x:c>
      <x:c r="F8" s="28" t="str">
        <x:v>関西</x:v>
      </x:c>
      <x:c r="G8" s="28" t="str">
        <x:v>新規</x:v>
      </x:c>
      <x:c r="H8" s="28" t="str">
        <x:v>導入</x:v>
      </x:c>
      <x:c r="I8" s="28" t="str">
        <x:v>導入B</x:v>
      </x:c>
      <x:c r="J8" s="98" t="n">
        <x:v>1</x:v>
      </x:c>
      <x:c r="K8" s="100" t="n">
        <x:v>80000</x:v>
      </x:c>
      <x:c r="L8" s="100" t="n">
        <x:v>80000</x:v>
      </x:c>
      <x:c r="M8" s="28" t="str">
        <x:v>進行中</x:v>
      </x:c>
      <x:c r="N8" s="28" t="str">
        <x:v>イベント</x:v>
      </x:c>
      <x:c r="O8" s="28" t="str">
        <x:v>7月更新</x:v>
      </x:c>
    </x:row>
    <x:row r="9">
      <x:c r="A9" s="28" t="str">
        <x:v>R0024</x:v>
      </x:c>
      <x:c r="B9" s="94" t="n">
        <x:v>46223</x:v>
      </x:c>
      <x:c r="C9" s="96" t="n">
        <x:v>46204</x:v>
      </x:c>
      <x:c r="D9" s="28" t="str">
        <x:v>技術部</x:v>
      </x:c>
      <x:c r="E9" s="28" t="str">
        <x:v>伊藤美咲</x:v>
      </x:c>
      <x:c r="F9" s="28" t="str">
        <x:v>中部</x:v>
      </x:c>
      <x:c r="G9" s="28" t="str">
        <x:v>既存</x:v>
      </x:c>
      <x:c r="H9" s="28" t="str">
        <x:v>研修</x:v>
      </x:c>
      <x:c r="I9" s="28" t="str">
        <x:v>研修C</x:v>
      </x:c>
      <x:c r="J9" s="98" t="n">
        <x:v>2</x:v>
      </x:c>
      <x:c r="K9" s="100" t="n">
        <x:v>50000</x:v>
      </x:c>
      <x:c r="L9" s="100" t="n">
        <x:v>100000</x:v>
      </x:c>
      <x:c r="M9" s="28" t="str">
        <x:v>完了</x:v>
      </x:c>
      <x:c r="N9" s="28" t="str">
        <x:v>紹介</x:v>
      </x:c>
      <x:c r="O9" s="28" t="str">
        <x:v>7月更新</x:v>
      </x:c>
    </x:row>
    <x:row r="11">
      <x:c r="A11" s="32" t="str">
        <x:v>コピー範囲：A4:O9。A3:O3の見出しはコピーしません。</x:v>
      </x:c>
      <x:c r="B11" s="32"/>
      <x:c r="C11" s="32"/>
      <x:c r="D11" s="32"/>
      <x:c r="E11" s="32"/>
      <x:c r="F11" s="32"/>
      <x:c r="G11" s="32"/>
      <x:c r="H11" s="32"/>
      <x:c r="I11" s="32"/>
      <x:c r="J11" s="32"/>
      <x:c r="K11" s="32"/>
      <x:c r="L11" s="32"/>
      <x:c r="M11" s="32"/>
      <x:c r="N11" s="32"/>
      <x:c r="O11" s="32"/>
    </x:row>
  </x:sheetData>
  <x:mergeCells>
    <x:mergeCell ref="A1:O2"/>
    <x:mergeCell ref="A11:O1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22" hidden="0" customWidth="1"/>
    <x:col min="4" max="4" width="14" hidden="0" customWidth="1"/>
    <x:col min="5" max="5" width="32" hidden="0" customWidth="1"/>
  </x:cols>
  <x:sheetData>
    <x:row r="1" ht="34" customHeight="1">
      <x:c r="A1" s="6" t="str">
        <x:v>更新前の基準値</x:v>
      </x:c>
      <x:c r="B1" s="6"/>
      <x:c r="C1" s="6"/>
      <x:c r="D1" s="6"/>
      <x:c r="E1" s="6"/>
    </x:row>
    <x:row r="2" ht="34" customHeight="1">
      <x:c r="A2" s="6"/>
      <x:c r="B2" s="6"/>
      <x:c r="C2" s="6"/>
      <x:c r="D2" s="6"/>
      <x:c r="E2" s="6"/>
    </x:row>
    <x:row r="4">
      <x:c r="A4" s="16" t="str">
        <x:v>確認項目</x:v>
      </x:c>
      <x:c r="B4" s="16" t="str">
        <x:v>現在値</x:v>
      </x:c>
      <x:c r="C4" s="16" t="str">
        <x:v>期待値</x:v>
      </x:c>
      <x:c r="D4" s="16" t="str">
        <x:v>判定</x:v>
      </x:c>
      <x:c r="E4" s="16" t="str">
        <x:v>補足</x:v>
      </x:c>
    </x:row>
    <x:row r="5">
      <x:c r="A5" s="24" t="str">
        <x:v>明細件数</x:v>
      </x:c>
      <x:c r="B5" s="24" t="n">
        <x:f>COUNTA('01_月次実績'!A4:A100)</x:f>
        <x:v>18</x:v>
      </x:c>
      <x:c r="C5" s="24" t="n">
        <x:v>18</x:v>
      </x:c>
      <x:c r="D5" s="24" t="str">
        <x:f>IF(B5=C5,"OK","要確認")</x:f>
        <x:v>OK</x:v>
      </x:c>
      <x:c r="E5" s="24" t="str">
        <x:v>実績IDの件数</x:v>
      </x:c>
    </x:row>
    <x:row r="6">
      <x:c r="A6" s="24" t="str">
        <x:v>売上合計</x:v>
      </x:c>
      <x:c r="B6" s="102" t="n">
        <x:f>SUM('01_月次実績'!L4:L100)</x:f>
        <x:v>2410000</x:v>
      </x:c>
      <x:c r="C6" s="102" t="n">
        <x:v>2410000</x:v>
      </x:c>
      <x:c r="D6" s="24" t="str">
        <x:f>IF(B6=C6,"OK","要確認")</x:f>
        <x:v>OK</x:v>
      </x:c>
      <x:c r="E6" s="24" t="str">
        <x:v>売上金額の合計</x:v>
      </x:c>
    </x:row>
    <x:row r="7">
      <x:c r="A7" s="24" t="str">
        <x:v>完了件数</x:v>
      </x:c>
      <x:c r="B7" s="24" t="n">
        <x:f>COUNTIF('01_月次実績'!M4:M100,"完了")</x:f>
        <x:v>13</x:v>
      </x:c>
      <x:c r="C7" s="24" t="n">
        <x:v>13</x:v>
      </x:c>
      <x:c r="D7" s="24" t="str">
        <x:f>IF(B7=C7,"OK","要確認")</x:f>
        <x:v>OK</x:v>
      </x:c>
      <x:c r="E7" s="24" t="str">
        <x:v>ステータス＝完了</x:v>
      </x:c>
    </x:row>
    <x:row r="8">
      <x:c r="A8" s="24" t="str">
        <x:v>進行中件数</x:v>
      </x:c>
      <x:c r="B8" s="24" t="n">
        <x:f>COUNTIF('01_月次実績'!M4:M100,"進行中")</x:f>
        <x:v>5</x:v>
      </x:c>
      <x:c r="C8" s="24" t="n">
        <x:v>5</x:v>
      </x:c>
      <x:c r="D8" s="24" t="str">
        <x:f>IF(B8=C8,"OK","要確認")</x:f>
        <x:v>OK</x:v>
      </x:c>
      <x:c r="E8" s="24" t="str">
        <x:v>ステータス＝進行中</x:v>
      </x:c>
    </x:row>
    <x:row r="9">
      <x:c r="A9" s="24" t="str">
        <x:v>最新年月</x:v>
      </x:c>
      <x:c r="B9" s="104" t="n">
        <x:f>MAX('01_月次実績'!C4:C100)</x:f>
        <x:v>46174</x:v>
      </x:c>
      <x:c r="C9" s="104" t="n">
        <x:v>46174</x:v>
      </x:c>
      <x:c r="D9" s="24" t="str">
        <x:f>IF(B9=C9,"OK","要確認")</x:f>
        <x:v>OK</x:v>
      </x:c>
      <x:c r="E9" s="24" t="str">
        <x:v>更新前の最新月</x:v>
      </x:c>
    </x:row>
    <x:row r="10">
      <x:c r="A10" s="24" t="str">
        <x:v>実績ID最大</x:v>
      </x:c>
      <x:c r="B10" s="24" t="str">
        <x:f>INDEX('01_月次実績'!A4:A100,COUNTA('01_月次実績'!A4:A100))</x:f>
        <x:v>R0018</x:v>
      </x:c>
      <x:c r="C10" s="24" t="str">
        <x:v>R0018</x:v>
      </x:c>
      <x:c r="D10" s="24" t="str">
        <x:f>IF(B10=C10,"OK","要確認")</x:f>
        <x:v>OK</x:v>
      </x:c>
      <x:c r="E10" s="24" t="str">
        <x:v>最終行のID</x:v>
      </x:c>
    </x:row>
  </x:sheetData>
  <x:mergeCells>
    <x:mergeCell ref="A1:E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22" hidden="0" customWidth="1"/>
    <x:col min="4" max="4" width="14" hidden="0" customWidth="1"/>
    <x:col min="5" max="5" width="32" hidden="0" customWidth="1"/>
  </x:cols>
  <x:sheetData>
    <x:row r="1" ht="34" customHeight="1">
      <x:c r="A1" s="6" t="str">
        <x:v>7月追加データの確認</x:v>
      </x:c>
      <x:c r="B1" s="6"/>
      <x:c r="C1" s="6"/>
      <x:c r="D1" s="6"/>
      <x:c r="E1" s="6"/>
    </x:row>
    <x:row r="2" ht="34" customHeight="1">
      <x:c r="A2" s="6"/>
      <x:c r="B2" s="6"/>
      <x:c r="C2" s="6"/>
      <x:c r="D2" s="6"/>
      <x:c r="E2" s="6"/>
    </x:row>
    <x:row r="4">
      <x:c r="A4" s="16" t="str">
        <x:v>確認項目</x:v>
      </x:c>
      <x:c r="B4" s="16" t="str">
        <x:v>現在値</x:v>
      </x:c>
      <x:c r="C4" s="16" t="str">
        <x:v>期待値</x:v>
      </x:c>
      <x:c r="D4" s="16" t="str">
        <x:v>判定</x:v>
      </x:c>
      <x:c r="E4" s="16" t="str">
        <x:v>補足</x:v>
      </x:c>
    </x:row>
    <x:row r="5">
      <x:c r="A5" s="24" t="str">
        <x:v>列数</x:v>
      </x:c>
      <x:c r="B5" s="24" t="n">
        <x:f>COUNTA('02_7月追加データ'!A3:O3)</x:f>
        <x:v>15</x:v>
      </x:c>
      <x:c r="C5" s="24" t="n">
        <x:v>15</x:v>
      </x:c>
      <x:c r="D5" s="24" t="str">
        <x:f>IF(B5=C5,"OK","要確認")</x:f>
        <x:v>OK</x:v>
      </x:c>
      <x:c r="E5" s="24" t="str">
        <x:v>見出し数</x:v>
      </x:c>
    </x:row>
    <x:row r="6">
      <x:c r="A6" s="24" t="str">
        <x:v>追加件数</x:v>
      </x:c>
      <x:c r="B6" s="24" t="n">
        <x:f>COUNTA('02_7月追加データ'!A4:A9)</x:f>
        <x:v>6</x:v>
      </x:c>
      <x:c r="C6" s="24" t="n">
        <x:v>6</x:v>
      </x:c>
      <x:c r="D6" s="24" t="str">
        <x:f>IF(B6=C6,"OK","要確認")</x:f>
        <x:v>OK</x:v>
      </x:c>
      <x:c r="E6" s="24" t="str">
        <x:v>R0019～R0024</x:v>
      </x:c>
    </x:row>
    <x:row r="7">
      <x:c r="A7" s="24" t="str">
        <x:v>売上合計</x:v>
      </x:c>
      <x:c r="B7" s="102" t="n">
        <x:f>SUM('02_7月追加データ'!L4:L9)</x:f>
        <x:v>750000</x:v>
      </x:c>
      <x:c r="C7" s="102" t="n">
        <x:v>750000</x:v>
      </x:c>
      <x:c r="D7" s="24" t="str">
        <x:f>IF(B7=C7,"OK","要確認")</x:f>
        <x:v>OK</x:v>
      </x:c>
      <x:c r="E7" s="24" t="str">
        <x:v>6件の合計</x:v>
      </x:c>
    </x:row>
    <x:row r="8">
      <x:c r="A8" s="24" t="str">
        <x:v>完了件数</x:v>
      </x:c>
      <x:c r="B8" s="24" t="n">
        <x:f>COUNTIF('02_7月追加データ'!M4:M9,"完了")</x:f>
        <x:v>4</x:v>
      </x:c>
      <x:c r="C8" s="24" t="n">
        <x:v>4</x:v>
      </x:c>
      <x:c r="D8" s="24" t="str">
        <x:f>IF(B8=C8,"OK","要確認")</x:f>
        <x:v>OK</x:v>
      </x:c>
      <x:c r="E8" s="24" t="str">
        <x:v>完了</x:v>
      </x:c>
    </x:row>
    <x:row r="9">
      <x:c r="A9" s="24" t="str">
        <x:v>進行中件数</x:v>
      </x:c>
      <x:c r="B9" s="24" t="n">
        <x:f>COUNTIF('02_7月追加データ'!M4:M9,"進行中")</x:f>
        <x:v>2</x:v>
      </x:c>
      <x:c r="C9" s="24" t="n">
        <x:v>2</x:v>
      </x:c>
      <x:c r="D9" s="24" t="str">
        <x:f>IF(B9=C9,"OK","要確認")</x:f>
        <x:v>OK</x:v>
      </x:c>
      <x:c r="E9" s="24" t="str">
        <x:v>進行中</x:v>
      </x:c>
    </x:row>
    <x:row r="10">
      <x:c r="A10" s="24" t="str">
        <x:v>対象年月</x:v>
      </x:c>
      <x:c r="B10" s="104" t="n">
        <x:f>MAX('02_7月追加データ'!C4:C9)</x:f>
        <x:v>46204</x:v>
      </x:c>
      <x:c r="C10" s="104" t="n">
        <x:v>46204</x:v>
      </x:c>
      <x:c r="D10" s="24" t="str">
        <x:f>IF(B10=C10,"OK","要確認")</x:f>
        <x:v>OK</x:v>
      </x:c>
      <x:c r="E10" s="24" t="str">
        <x:v>全6件同じ月</x:v>
      </x:c>
    </x:row>
    <x:row r="11">
      <x:c r="A11" s="24" t="str">
        <x:v>数量×単価の不一致</x:v>
      </x:c>
      <x:c r="B11" s="24" t="n">
        <x:f>SUMPRODUCT(--('02_7月追加データ'!J4:J9*'02_7月追加データ'!K4:K9&lt;&gt;'02_7月追加データ'!L4:L9))</x:f>
        <x:v>0</x:v>
      </x:c>
      <x:c r="C11" s="24" t="n">
        <x:v>0</x:v>
      </x:c>
      <x:c r="D11" s="24" t="str">
        <x:f>IF(B11=C11,"OK","要確認")</x:f>
        <x:v>OK</x:v>
      </x:c>
      <x:c r="E11" s="24" t="str">
        <x:v>0でOK</x:v>
      </x:c>
    </x:row>
    <x:row r="12">
      <x:c r="A12" s="24" t="str">
        <x:v>必須ID空欄</x:v>
      </x:c>
      <x:c r="B12" s="24" t="n">
        <x:f>COUNTBLANK('02_7月追加データ'!A4:A9)</x:f>
        <x:v>0</x:v>
      </x:c>
      <x:c r="C12" s="24" t="n">
        <x:v>0</x:v>
      </x:c>
      <x:c r="D12" s="24" t="str">
        <x:f>IF(B12=C12,"OK","要確認")</x:f>
        <x:v>OK</x:v>
      </x:c>
      <x:c r="E12" s="24" t="str">
        <x:v>0でOK</x:v>
      </x:c>
    </x:row>
  </x:sheetData>
  <x:mergeCells>
    <x:mergeCell ref="A1:E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2" hidden="0" customWidth="1"/>
    <x:col min="4" max="4" width="22" hidden="0" customWidth="1"/>
    <x:col min="5" max="5" width="20" hidden="0" customWidth="1"/>
    <x:col min="6" max="6" width="30" hidden="0" customWidth="1"/>
  </x:cols>
  <x:sheetData>
    <x:row r="1" ht="34" customHeight="1">
      <x:c r="A1" s="6" t="str">
        <x:v>Excel更新後の確認</x:v>
      </x:c>
      <x:c r="B1" s="6"/>
      <x:c r="C1" s="6"/>
      <x:c r="D1" s="6"/>
      <x:c r="E1" s="6"/>
      <x:c r="F1" s="6"/>
    </x:row>
    <x:row r="2" ht="34" customHeight="1">
      <x:c r="A2" s="6"/>
      <x:c r="B2" s="6"/>
      <x:c r="C2" s="6"/>
      <x:c r="D2" s="6"/>
      <x:c r="E2" s="6"/>
      <x:c r="F2" s="6"/>
    </x:row>
    <x:row r="4">
      <x:c r="A4" s="16" t="str">
        <x:v>範囲</x:v>
      </x:c>
      <x:c r="B4" s="16" t="str">
        <x:v>確認項目</x:v>
      </x:c>
      <x:c r="C4" s="16" t="str">
        <x:v>現在値</x:v>
      </x:c>
      <x:c r="D4" s="16" t="str">
        <x:v>期待値</x:v>
      </x:c>
      <x:c r="E4" s="16" t="str">
        <x:v>判定</x:v>
      </x:c>
      <x:c r="F4" s="16" t="str">
        <x:v>補足</x:v>
      </x:c>
    </x:row>
    <x:row r="5">
      <x:c r="A5" s="24" t="str">
        <x:v>全件</x:v>
      </x:c>
      <x:c r="B5" s="24" t="str">
        <x:v>明細件数</x:v>
      </x:c>
      <x:c r="C5" s="24" t="n">
        <x:f>COUNTA('01_月次実績'!A4:A100)</x:f>
        <x:v>18</x:v>
      </x:c>
      <x:c r="D5" s="24" t="n">
        <x:v>24</x:v>
      </x:c>
      <x:c r="E5" s="24" t="str">
        <x:f>IF(C5=D5,"OK","未更新・要確認")</x:f>
        <x:v>未更新・要確認</x:v>
      </x:c>
      <x:c r="F5" s="24" t="str">
        <x:v>18＋6</x:v>
      </x:c>
    </x:row>
    <x:row r="6">
      <x:c r="A6" s="24" t="str">
        <x:v>全件</x:v>
      </x:c>
      <x:c r="B6" s="24" t="str">
        <x:v>売上合計</x:v>
      </x:c>
      <x:c r="C6" s="102" t="n">
        <x:f>SUM('01_月次実績'!L4:L100)</x:f>
        <x:v>2410000</x:v>
      </x:c>
      <x:c r="D6" s="102" t="n">
        <x:v>3160000</x:v>
      </x:c>
      <x:c r="E6" s="24" t="str">
        <x:f>IF(C6=D6,"OK","未更新・要確認")</x:f>
        <x:v>未更新・要確認</x:v>
      </x:c>
      <x:c r="F6" s="24" t="str">
        <x:v>2,410,000＋750,000</x:v>
      </x:c>
    </x:row>
    <x:row r="7">
      <x:c r="A7" s="24" t="str">
        <x:v>全件</x:v>
      </x:c>
      <x:c r="B7" s="24" t="str">
        <x:v>完了件数</x:v>
      </x:c>
      <x:c r="C7" s="24" t="n">
        <x:f>COUNTIF('01_月次実績'!M4:M100,"完了")</x:f>
        <x:v>13</x:v>
      </x:c>
      <x:c r="D7" s="24" t="n">
        <x:v>17</x:v>
      </x:c>
      <x:c r="E7" s="24" t="str">
        <x:f>IF(C7=D7,"OK","未更新・要確認")</x:f>
        <x:v>未更新・要確認</x:v>
      </x:c>
      <x:c r="F7" s="24" t="str">
        <x:v>13＋4</x:v>
      </x:c>
    </x:row>
    <x:row r="8">
      <x:c r="A8" s="24" t="str">
        <x:v>全件</x:v>
      </x:c>
      <x:c r="B8" s="24" t="str">
        <x:v>進行中件数</x:v>
      </x:c>
      <x:c r="C8" s="24" t="n">
        <x:f>COUNTIF('01_月次実績'!M4:M100,"進行中")</x:f>
        <x:v>5</x:v>
      </x:c>
      <x:c r="D8" s="24" t="n">
        <x:v>7</x:v>
      </x:c>
      <x:c r="E8" s="24" t="str">
        <x:f>IF(C8=D8,"OK","未更新・要確認")</x:f>
        <x:v>未更新・要確認</x:v>
      </x:c>
      <x:c r="F8" s="24" t="str">
        <x:v>5＋2</x:v>
      </x:c>
    </x:row>
    <x:row r="9">
      <x:c r="A9" s="24" t="str">
        <x:v>全件</x:v>
      </x:c>
      <x:c r="B9" s="24" t="str">
        <x:v>最新年月</x:v>
      </x:c>
      <x:c r="C9" s="104" t="n">
        <x:f>MAX('01_月次実績'!C4:C100)</x:f>
        <x:v>46174</x:v>
      </x:c>
      <x:c r="D9" s="104" t="n">
        <x:v>46204</x:v>
      </x:c>
      <x:c r="E9" s="24" t="str">
        <x:f>IF(C9=D9,"OK","未更新・要確認")</x:f>
        <x:v>未更新・要確認</x:v>
      </x:c>
      <x:c r="F9" s="24" t="str">
        <x:v>2026-07</x:v>
      </x:c>
    </x:row>
    <x:row r="10">
      <x:c r="A10" s="24" t="str">
        <x:v>7月</x:v>
      </x:c>
      <x:c r="B10" s="24" t="str">
        <x:v>明細件数</x:v>
      </x:c>
      <x:c r="C10" s="24" t="n">
        <x:f>COUNTIF('01_月次実績'!C4:C100,DATE(2026,7,1))</x:f>
        <x:v>0</x:v>
      </x:c>
      <x:c r="D10" s="24" t="n">
        <x:v>6</x:v>
      </x:c>
      <x:c r="E10" s="24" t="str">
        <x:f>IF(C10=D10,"OK","未更新・要確認")</x:f>
        <x:v>未更新・要確認</x:v>
      </x:c>
      <x:c r="F10" s="24" t="str">
        <x:v>対象年月＝2026-07</x:v>
      </x:c>
    </x:row>
    <x:row r="11">
      <x:c r="A11" s="24" t="str">
        <x:v>7月</x:v>
      </x:c>
      <x:c r="B11" s="24" t="str">
        <x:v>売上合計</x:v>
      </x:c>
      <x:c r="C11" s="102" t="n">
        <x:f>SUMIF('01_月次実績'!C4:C100,DATE(2026,7,1),'01_月次実績'!L4:L100)</x:f>
        <x:v>0</x:v>
      </x:c>
      <x:c r="D11" s="102" t="n">
        <x:v>750000</x:v>
      </x:c>
      <x:c r="E11" s="24" t="str">
        <x:f>IF(C11=D11,"OK","未更新・要確認")</x:f>
        <x:v>未更新・要確認</x:v>
      </x:c>
      <x:c r="F11" s="24" t="str">
        <x:v>7月合計</x:v>
      </x:c>
    </x:row>
    <x:row r="12">
      <x:c r="A12" s="24" t="str">
        <x:v>7月</x:v>
      </x:c>
      <x:c r="B12" s="24" t="str">
        <x:v>完了件数</x:v>
      </x:c>
      <x:c r="C12" s="24" t="n">
        <x:f>COUNTIFS('01_月次実績'!C4:C100,DATE(2026,7,1),'01_月次実績'!M4:M100,"完了")</x:f>
        <x:v>0</x:v>
      </x:c>
      <x:c r="D12" s="24" t="n">
        <x:v>4</x:v>
      </x:c>
      <x:c r="E12" s="24" t="str">
        <x:f>IF(C12=D12,"OK","未更新・要確認")</x:f>
        <x:v>未更新・要確認</x:v>
      </x:c>
      <x:c r="F12" s="24" t="str">
        <x:v>7月完了</x:v>
      </x:c>
    </x:row>
    <x:row r="13">
      <x:c r="A13" s="24" t="str">
        <x:v>7月</x:v>
      </x:c>
      <x:c r="B13" s="24" t="str">
        <x:v>進行中件数</x:v>
      </x:c>
      <x:c r="C13" s="24" t="n">
        <x:f>COUNTIFS('01_月次実績'!C4:C100,DATE(2026,7,1),'01_月次実績'!M4:M100,"進行中")</x:f>
        <x:v>0</x:v>
      </x:c>
      <x:c r="D13" s="24" t="n">
        <x:v>2</x:v>
      </x:c>
      <x:c r="E13" s="24" t="str">
        <x:f>IF(C13=D13,"OK","未更新・要確認")</x:f>
        <x:v>未更新・要確認</x:v>
      </x:c>
      <x:c r="F13" s="24" t="str">
        <x:v>7月進行中</x:v>
      </x:c>
    </x:row>
    <x:row r="14">
      <x:c r="A14" s="24" t="str">
        <x:v>営業1課</x:v>
      </x:c>
      <x:c r="B14" s="24" t="str">
        <x:v>売上合計</x:v>
      </x:c>
      <x:c r="C14" s="102" t="n">
        <x:f>SUMIF('01_月次実績'!D4:D100,"営業1課",'01_月次実績'!L4:L100)</x:f>
        <x:v>790000</x:v>
      </x:c>
      <x:c r="D14" s="102" t="n">
        <x:v>1070000</x:v>
      </x:c>
      <x:c r="E14" s="24" t="str">
        <x:f>IF(C14=D14,"OK","未更新・要確認")</x:f>
        <x:v>未更新・要確認</x:v>
      </x:c>
      <x:c r="F14" s="24" t="str">
        <x:v>更新後</x:v>
      </x:c>
    </x:row>
    <x:row r="15">
      <x:c r="A15" s="24" t="str">
        <x:v>営業1課</x:v>
      </x:c>
      <x:c r="B15" s="24" t="str">
        <x:v>明細件数</x:v>
      </x:c>
      <x:c r="C15" s="24" t="n">
        <x:f>COUNTIF('01_月次実績'!D4:D100,"営業1課")</x:f>
        <x:v>6</x:v>
      </x:c>
      <x:c r="D15" s="24" t="n">
        <x:v>8</x:v>
      </x:c>
      <x:c r="E15" s="24" t="str">
        <x:f>IF(C15=D15,"OK","未更新・要確認")</x:f>
        <x:v>未更新・要確認</x:v>
      </x:c>
      <x:c r="F15" s="24" t="str">
        <x:v>更新後</x:v>
      </x:c>
    </x:row>
    <x:row r="16">
      <x:c r="A16" s="24" t="str">
        <x:v>営業1課</x:v>
      </x:c>
      <x:c r="B16" s="24" t="str">
        <x:v>完了件数</x:v>
      </x:c>
      <x:c r="C16" s="24" t="n">
        <x:f>COUNTIFS('01_月次実績'!D4:D100,"営業1課",'01_月次実績'!M4:M100,"完了")</x:f>
        <x:v>5</x:v>
      </x:c>
      <x:c r="D16" s="24" t="n">
        <x:v>6</x:v>
      </x:c>
      <x:c r="E16" s="24" t="str">
        <x:f>IF(C16=D16,"OK","未更新・要確認")</x:f>
        <x:v>未更新・要確認</x:v>
      </x:c>
      <x:c r="F16" s="24" t="str">
        <x:v>更新後</x:v>
      </x:c>
    </x:row>
    <x:row r="17">
      <x:c r="A17" s="24" t="str">
        <x:v>田中一郎</x:v>
      </x:c>
      <x:c r="B17" s="24" t="str">
        <x:v>売上合計</x:v>
      </x:c>
      <x:c r="C17" s="102" t="n">
        <x:f>SUMIF('01_月次実績'!E4:E100,"田中一郎",'01_月次実績'!L4:L100)</x:f>
        <x:v>500000</x:v>
      </x:c>
      <x:c r="D17" s="102" t="n">
        <x:v>740000</x:v>
      </x:c>
      <x:c r="E17" s="24" t="str">
        <x:f>IF(C17=D17,"OK","未更新・要確認")</x:f>
        <x:v>未更新・要確認</x:v>
      </x:c>
      <x:c r="F17" s="24" t="str">
        <x:v>担当者別売上</x:v>
      </x:c>
    </x:row>
  </x:sheetData>
  <x:mergeCells>
    <x:mergeCell ref="A1:F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4" hidden="0" customWidth="1"/>
    <x:col min="4" max="4" width="26" hidden="0" customWidth="1"/>
    <x:col min="5" max="5" width="14" hidden="0" customWidth="1"/>
    <x:col min="6" max="6" width="28" hidden="0" customWidth="1"/>
  </x:cols>
  <x:sheetData>
    <x:row r="1" ht="34" customHeight="1">
      <x:c r="A1" s="6" t="str">
        <x:v>Power BI更新後の確認</x:v>
      </x:c>
      <x:c r="B1" s="6"/>
      <x:c r="C1" s="6"/>
      <x:c r="D1" s="6"/>
      <x:c r="E1" s="6"/>
      <x:c r="F1" s="6"/>
    </x:row>
    <x:row r="2" ht="34" customHeight="1">
      <x:c r="A2" s="6"/>
      <x:c r="B2" s="6"/>
      <x:c r="C2" s="6"/>
      <x:c r="D2" s="6"/>
      <x:c r="E2" s="6"/>
      <x:c r="F2" s="6"/>
    </x:row>
    <x:row r="4">
      <x:c r="A4" s="16" t="str">
        <x:v>条件</x:v>
      </x:c>
      <x:c r="B4" s="16" t="str">
        <x:v>確認項目</x:v>
      </x:c>
      <x:c r="C4" s="16" t="str">
        <x:v>期待値</x:v>
      </x:c>
      <x:c r="D4" s="16" t="str">
        <x:v>実際の値</x:v>
      </x:c>
      <x:c r="E4" s="16" t="str">
        <x:v>判定</x:v>
      </x:c>
      <x:c r="F4" s="16" t="str">
        <x:v>確認方法</x:v>
      </x:c>
    </x:row>
    <x:row r="5">
      <x:c r="A5" s="24" t="str">
        <x:v>全件</x:v>
      </x:c>
      <x:c r="B5" s="24" t="str">
        <x:v>売上合計</x:v>
      </x:c>
      <x:c r="C5" s="24" t="str">
        <x:v>3,160,000</x:v>
      </x:c>
      <x:c r="D5" s="28" t="str"/>
      <x:c r="E5" s="24" t="str">
        <x:v>未確認</x:v>
      </x:c>
      <x:c r="F5" s="24" t="str">
        <x:v>カード</x:v>
      </x:c>
    </x:row>
    <x:row r="6">
      <x:c r="A6" s="24" t="str">
        <x:v>全件</x:v>
      </x:c>
      <x:c r="B6" s="24" t="str">
        <x:v>実績件数</x:v>
      </x:c>
      <x:c r="C6" s="24" t="str">
        <x:v>24</x:v>
      </x:c>
      <x:c r="D6" s="28" t="str"/>
      <x:c r="E6" s="24" t="str">
        <x:v>未確認</x:v>
      </x:c>
      <x:c r="F6" s="24" t="str">
        <x:v>カード</x:v>
      </x:c>
    </x:row>
    <x:row r="7">
      <x:c r="A7" s="24" t="str">
        <x:v>全件</x:v>
      </x:c>
      <x:c r="B7" s="24" t="str">
        <x:v>完了件数</x:v>
      </x:c>
      <x:c r="C7" s="24" t="str">
        <x:v>17</x:v>
      </x:c>
      <x:c r="D7" s="28" t="str"/>
      <x:c r="E7" s="24" t="str">
        <x:v>未確認</x:v>
      </x:c>
      <x:c r="F7" s="24" t="str">
        <x:v>カード</x:v>
      </x:c>
    </x:row>
    <x:row r="8">
      <x:c r="A8" s="24" t="str">
        <x:v>全件</x:v>
      </x:c>
      <x:c r="B8" s="24" t="str">
        <x:v>田中一郎売上</x:v>
      </x:c>
      <x:c r="C8" s="24" t="str">
        <x:v>740,000</x:v>
      </x:c>
      <x:c r="D8" s="28" t="str"/>
      <x:c r="E8" s="24" t="str">
        <x:v>未確認</x:v>
      </x:c>
      <x:c r="F8" s="24" t="str">
        <x:v>担当者別売上</x:v>
      </x:c>
    </x:row>
    <x:row r="9">
      <x:c r="A9" s="24" t="str">
        <x:v>営業1課</x:v>
      </x:c>
      <x:c r="B9" s="24" t="str">
        <x:v>売上合計</x:v>
      </x:c>
      <x:c r="C9" s="24" t="str">
        <x:v>1,070,000</x:v>
      </x:c>
      <x:c r="D9" s="28" t="str"/>
      <x:c r="E9" s="24" t="str">
        <x:v>未確認</x:v>
      </x:c>
      <x:c r="F9" s="24" t="str">
        <x:v>部門スライサー</x:v>
      </x:c>
    </x:row>
    <x:row r="10">
      <x:c r="A10" s="24" t="str">
        <x:v>営業1課</x:v>
      </x:c>
      <x:c r="B10" s="24" t="str">
        <x:v>実績件数</x:v>
      </x:c>
      <x:c r="C10" s="24" t="str">
        <x:v>8</x:v>
      </x:c>
      <x:c r="D10" s="28" t="str"/>
      <x:c r="E10" s="24" t="str">
        <x:v>未確認</x:v>
      </x:c>
      <x:c r="F10" s="24" t="str">
        <x:v>部門スライサー</x:v>
      </x:c>
    </x:row>
    <x:row r="11">
      <x:c r="A11" s="24" t="str">
        <x:v>営業1課</x:v>
      </x:c>
      <x:c r="B11" s="24" t="str">
        <x:v>完了件数</x:v>
      </x:c>
      <x:c r="C11" s="24" t="str">
        <x:v>6</x:v>
      </x:c>
      <x:c r="D11" s="28" t="str"/>
      <x:c r="E11" s="24" t="str">
        <x:v>未確認</x:v>
      </x:c>
      <x:c r="F11" s="24" t="str">
        <x:v>部門スライサー</x:v>
      </x:c>
    </x:row>
    <x:row r="12">
      <x:c r="A12" s="24" t="str">
        <x:v>最終状態</x:v>
      </x:c>
      <x:c r="B12" s="24" t="str">
        <x:v>部門スライサー</x:v>
      </x:c>
      <x:c r="C12" s="24" t="str">
        <x:v>全件</x:v>
      </x:c>
      <x:c r="D12" s="28" t="str"/>
      <x:c r="E12" s="24" t="str">
        <x:v>未確認</x:v>
      </x:c>
      <x:c r="F12" s="24" t="str">
        <x:v>条件を解除</x:v>
      </x:c>
    </x:row>
    <x:row r="13">
      <x:c r="A13" s="24" t="str">
        <x:v>保存</x:v>
      </x:c>
      <x:c r="B13" s="24" t="str">
        <x:v>PBIX</x:v>
      </x:c>
      <x:c r="C13" s="24" t="str">
        <x:v>保存済み</x:v>
      </x:c>
      <x:c r="D13" s="28" t="str"/>
      <x:c r="E13" s="24" t="str">
        <x:v>未確認</x:v>
      </x:c>
      <x:c r="F13" s="24" t="str">
        <x:v>指定名で保存</x:v>
      </x:c>
    </x:row>
  </x:sheetData>
  <x:mergeCells>
    <x:mergeCell ref="A1:F2"/>
  </x:mergeCells>
  <x:dataValidations count="1">
    <x:dataValidation type="list" sqref="E5:E13">
      <x:formula1>"未確認,OK,要確認"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52" hidden="0" customWidth="1"/>
    <x:col min="4" max="4" width="36" hidden="0" customWidth="1"/>
    <x:col min="5" max="5" width="14" hidden="0" customWidth="1"/>
  </x:cols>
  <x:sheetData>
    <x:row r="1" ht="34" customHeight="1">
      <x:c r="A1" s="6" t="str">
        <x:v>月次更新手順　基本情報だけ入力</x:v>
      </x:c>
      <x:c r="B1" s="6"/>
      <x:c r="C1" s="6"/>
      <x:c r="D1" s="6"/>
      <x:c r="E1" s="6"/>
    </x:row>
    <x:row r="2" ht="34" customHeight="1">
      <x:c r="A2" s="6"/>
      <x:c r="B2" s="6"/>
      <x:c r="C2" s="6"/>
      <x:c r="D2" s="6"/>
      <x:c r="E2" s="6"/>
    </x:row>
    <x:row r="4">
      <x:c r="A4" s="16" t="str">
        <x:v>基本情報</x:v>
      </x:c>
      <x:c r="B4" s="16" t="str">
        <x:v>入力</x:v>
      </x:c>
    </x:row>
    <x:row r="5">
      <x:c r="A5" s="24" t="str">
        <x:v>担当者</x:v>
      </x:c>
      <x:c r="B5" s="28" t="str"/>
    </x:row>
    <x:row r="6">
      <x:c r="A6" s="24" t="str">
        <x:v>Excelファイル名</x:v>
      </x:c>
      <x:c r="B6" s="28" t="str"/>
    </x:row>
    <x:row r="7">
      <x:c r="A7" s="24" t="str">
        <x:v>PBIXファイル名</x:v>
      </x:c>
      <x:c r="B7" s="28" t="str"/>
    </x:row>
    <x:row r="8">
      <x:c r="A8" s="24" t="str">
        <x:v>保存場所</x:v>
      </x:c>
      <x:c r="B8" s="28" t="str"/>
    </x:row>
    <x:row r="9">
      <x:c r="A9" s="24" t="str">
        <x:v>問い合わせ先</x:v>
      </x:c>
      <x:c r="B9" s="28" t="str"/>
    </x:row>
    <x:row r="10">
      <x:c r="A10" s="24" t="str">
        <x:v>未解決事項</x:v>
      </x:c>
      <x:c r="B10" s="28" t="str"/>
    </x:row>
    <x:row r="12">
      <x:c r="A12" s="16" t="str">
        <x:v>No.</x:v>
      </x:c>
      <x:c r="B12" s="16" t="str">
        <x:v>工程</x:v>
      </x:c>
      <x:c r="C12" s="16" t="str">
        <x:v>具体的な操作</x:v>
      </x:c>
      <x:c r="D12" s="16" t="str">
        <x:v>完了の基準</x:v>
      </x:c>
      <x:c r="E12" s="16" t="str">
        <x:v>確認</x:v>
      </x:c>
    </x:row>
    <x:row r="13">
      <x:c r="A13" s="39" t="n">
        <x:v>1</x:v>
      </x:c>
      <x:c r="B13" s="39" t="str">
        <x:v>使用ファイルを確認</x:v>
      </x:c>
      <x:c r="C13" s="39" t="str">
        <x:v>更新用ExcelとPBIXのコピーを開く</x:v>
      </x:c>
      <x:c r="D13" s="39" t="str">
        <x:v>正式なファイル名と保存先を確認</x:v>
      </x:c>
      <x:c r="E13" s="39" t="str">
        <x:v>未確認</x:v>
      </x:c>
    </x:row>
    <x:row r="14">
      <x:c r="A14" s="39" t="n">
        <x:v>2</x:v>
      </x:c>
      <x:c r="B14" s="39" t="str">
        <x:v>更新前確認</x:v>
      </x:c>
      <x:c r="C14" s="39" t="str">
        <x:v>03_更新前確認を開く</x:v>
      </x:c>
      <x:c r="D14" s="39" t="str">
        <x:v>6項目がすべてOK</x:v>
      </x:c>
      <x:c r="E14" s="39" t="str">
        <x:v>未確認</x:v>
      </x:c>
    </x:row>
    <x:row r="15">
      <x:c r="A15" s="39" t="n">
        <x:v>3</x:v>
      </x:c>
      <x:c r="B15" s="39" t="str">
        <x:v>追加データ確認</x:v>
      </x:c>
      <x:c r="C15" s="39" t="str">
        <x:v>04_追加データ確認を開く</x:v>
      </x:c>
      <x:c r="D15" s="39" t="str">
        <x:v>8項目がすべてOK</x:v>
      </x:c>
      <x:c r="E15" s="39" t="str">
        <x:v>未確認</x:v>
      </x:c>
    </x:row>
    <x:row r="16">
      <x:c r="A16" s="39" t="n">
        <x:v>4</x:v>
      </x:c>
      <x:c r="B16" s="39" t="str">
        <x:v>Excel追加・保存</x:v>
      </x:c>
      <x:c r="C16" s="39" t="str">
        <x:v>02のA4:O9を01のA22へ貼り付けて保存</x:v>
      </x:c>
      <x:c r="D16" s="39" t="str">
        <x:v>05がすべてOK</x:v>
      </x:c>
      <x:c r="E16" s="39" t="str">
        <x:v>未確認</x:v>
      </x:c>
    </x:row>
    <x:row r="17">
      <x:c r="A17" s="39" t="n">
        <x:v>5</x:v>
      </x:c>
      <x:c r="B17" s="39" t="str">
        <x:v>Power BI更新</x:v>
      </x:c>
      <x:c r="C17" s="39" t="str">
        <x:v>PBIXを開いて更新</x:v>
      </x:c>
      <x:c r="D17" s="39" t="str">
        <x:v>3,160,000・24・17</x:v>
      </x:c>
      <x:c r="E17" s="39" t="str">
        <x:v>未確認</x:v>
      </x:c>
    </x:row>
    <x:row r="18">
      <x:c r="A18" s="39" t="n">
        <x:v>6</x:v>
      </x:c>
      <x:c r="B18" s="39" t="str">
        <x:v>条件確認</x:v>
      </x:c>
      <x:c r="C18" s="39" t="str">
        <x:v>田中一郎と営業1課を確認</x:v>
      </x:c>
      <x:c r="D18" s="39" t="str">
        <x:v>740,000／1,070,000・8・6</x:v>
      </x:c>
      <x:c r="E18" s="39" t="str">
        <x:v>未確認</x:v>
      </x:c>
    </x:row>
    <x:row r="19">
      <x:c r="A19" s="39" t="n">
        <x:v>7</x:v>
      </x:c>
      <x:c r="B19" s="39" t="str">
        <x:v>全件・保存・記録</x:v>
      </x:c>
      <x:c r="C19" s="39" t="str">
        <x:v>スライサー解除、ExcelとPBIXを保存</x:v>
      </x:c>
      <x:c r="D19" s="39" t="str">
        <x:v>チェックリストと提出確認を完成</x:v>
      </x:c>
      <x:c r="E19" s="39" t="str">
        <x:v>未確認</x:v>
      </x:c>
    </x:row>
  </x:sheetData>
  <x:mergeCells>
    <x:mergeCell ref="A1:E2"/>
  </x:mergeCells>
  <x:dataValidations count="1">
    <x:dataValidation type="list" sqref="E13:E19">
      <x:formula1>"未確認,OK,要確認"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8" hidden="0" customWidth="1"/>
    <x:col min="3" max="3" width="14" hidden="0" customWidth="1"/>
    <x:col min="4" max="4" width="42" hidden="0" customWidth="1"/>
    <x:col min="5" max="5" width="14" hidden="0" customWidth="1"/>
  </x:cols>
  <x:sheetData>
    <x:row r="1" ht="34" customHeight="1">
      <x:c r="A1" s="6" t="str">
        <x:v>月次更新チェックリスト</x:v>
      </x:c>
      <x:c r="B1" s="6"/>
      <x:c r="C1" s="6"/>
      <x:c r="D1" s="6"/>
      <x:c r="E1" s="6"/>
    </x:row>
    <x:row r="2" ht="34" customHeight="1">
      <x:c r="A2" s="6"/>
      <x:c r="B2" s="6"/>
      <x:c r="C2" s="6"/>
      <x:c r="D2" s="6"/>
      <x:c r="E2" s="6"/>
    </x:row>
    <x:row r="4">
      <x:c r="A4" s="16" t="str">
        <x:v>No.</x:v>
      </x:c>
      <x:c r="B4" s="16" t="str">
        <x:v>確認項目</x:v>
      </x:c>
      <x:c r="C4" s="16" t="str">
        <x:v>判定</x:v>
      </x:c>
      <x:c r="D4" s="16" t="str">
        <x:v>要確認の内容</x:v>
      </x:c>
      <x:c r="E4" s="16" t="str">
        <x:v>再確認</x:v>
      </x:c>
    </x:row>
    <x:row r="5">
      <x:c r="A5" s="24" t="n">
        <x:v>1</x:v>
      </x:c>
      <x:c r="B5" s="24" t="str">
        <x:v>更新前の6項目がOK</x:v>
      </x:c>
      <x:c r="C5" s="24" t="str">
        <x:v>未確認</x:v>
      </x:c>
      <x:c r="D5" s="28" t="str"/>
      <x:c r="E5" s="24" t="str">
        <x:v>未確認</x:v>
      </x:c>
    </x:row>
    <x:row r="6">
      <x:c r="A6" s="24" t="n">
        <x:v>2</x:v>
      </x:c>
      <x:c r="B6" s="24" t="str">
        <x:v>7月追加データの8項目がOK</x:v>
      </x:c>
      <x:c r="C6" s="24" t="str">
        <x:v>未確認</x:v>
      </x:c>
      <x:c r="D6" s="28" t="str"/>
      <x:c r="E6" s="24" t="str">
        <x:v>未確認</x:v>
      </x:c>
    </x:row>
    <x:row r="7">
      <x:c r="A7" s="24" t="n">
        <x:v>3</x:v>
      </x:c>
      <x:c r="B7" s="24" t="str">
        <x:v>6件を見出しなしで表直下へ追加</x:v>
      </x:c>
      <x:c r="C7" s="24" t="str">
        <x:v>未確認</x:v>
      </x:c>
      <x:c r="D7" s="28" t="str"/>
      <x:c r="E7" s="24" t="str">
        <x:v>未確認</x:v>
      </x:c>
    </x:row>
    <x:row r="8">
      <x:c r="A8" s="24" t="n">
        <x:v>4</x:v>
      </x:c>
      <x:c r="B8" s="24" t="str">
        <x:v>Excelを保存</x:v>
      </x:c>
      <x:c r="C8" s="24" t="str">
        <x:v>未確認</x:v>
      </x:c>
      <x:c r="D8" s="28" t="str"/>
      <x:c r="E8" s="24" t="str">
        <x:v>未確認</x:v>
      </x:c>
    </x:row>
    <x:row r="9">
      <x:c r="A9" s="24" t="n">
        <x:v>5</x:v>
      </x:c>
      <x:c r="B9" s="24" t="str">
        <x:v>Excel更新後が24・3,160,000・17</x:v>
      </x:c>
      <x:c r="C9" s="24" t="str">
        <x:v>未確認</x:v>
      </x:c>
      <x:c r="D9" s="28" t="str"/>
      <x:c r="E9" s="24" t="str">
        <x:v>未確認</x:v>
      </x:c>
    </x:row>
    <x:row r="10">
      <x:c r="A10" s="24" t="n">
        <x:v>6</x:v>
      </x:c>
      <x:c r="B10" s="24" t="str">
        <x:v>最新年月が2026-07</x:v>
      </x:c>
      <x:c r="C10" s="24" t="str">
        <x:v>未確認</x:v>
      </x:c>
      <x:c r="D10" s="28" t="str"/>
      <x:c r="E10" s="24" t="str">
        <x:v>未確認</x:v>
      </x:c>
    </x:row>
    <x:row r="11">
      <x:c r="A11" s="24" t="n">
        <x:v>7</x:v>
      </x:c>
      <x:c r="B11" s="24" t="str">
        <x:v>Power BIを更新</x:v>
      </x:c>
      <x:c r="C11" s="24" t="str">
        <x:v>未確認</x:v>
      </x:c>
      <x:c r="D11" s="28" t="str"/>
      <x:c r="E11" s="24" t="str">
        <x:v>未確認</x:v>
      </x:c>
    </x:row>
    <x:row r="12">
      <x:c r="A12" s="24" t="n">
        <x:v>8</x:v>
      </x:c>
      <x:c r="B12" s="24" t="str">
        <x:v>Power BIが3,160,000・24・17</x:v>
      </x:c>
      <x:c r="C12" s="24" t="str">
        <x:v>未確認</x:v>
      </x:c>
      <x:c r="D12" s="28" t="str"/>
      <x:c r="E12" s="24" t="str">
        <x:v>未確認</x:v>
      </x:c>
    </x:row>
    <x:row r="13">
      <x:c r="A13" s="24" t="n">
        <x:v>9</x:v>
      </x:c>
      <x:c r="B13" s="24" t="str">
        <x:v>営業1課を確認後、全件へ戻す</x:v>
      </x:c>
      <x:c r="C13" s="24" t="str">
        <x:v>未確認</x:v>
      </x:c>
      <x:c r="D13" s="28" t="str"/>
      <x:c r="E13" s="24" t="str">
        <x:v>未確認</x:v>
      </x:c>
    </x:row>
    <x:row r="14">
      <x:c r="A14" s="24" t="n">
        <x:v>10</x:v>
      </x:c>
      <x:c r="B14" s="24" t="str">
        <x:v>ExcelとPBIXを指定名で保存</x:v>
      </x:c>
      <x:c r="C14" s="24" t="str">
        <x:v>未確認</x:v>
      </x:c>
      <x:c r="D14" s="28" t="str"/>
      <x:c r="E14" s="24" t="str">
        <x:v>未確認</x:v>
      </x:c>
    </x:row>
  </x:sheetData>
  <x:mergeCells>
    <x:mergeCell ref="A1:E2"/>
  </x:mergeCells>
  <x:dataValidations count="2">
    <x:dataValidation type="list" sqref="C5:C14">
      <x:formula1>"未確認,OK,要確認"</x:formula1>
    </x:dataValidation>
    <x:dataValidation type="list" sqref="E5:E14">
      <x:formula1>"未確認,OK,要確認"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52" hidden="0" customWidth="1"/>
    <x:col min="3" max="3" width="46" hidden="0" customWidth="1"/>
    <x:col min="4" max="4" width="22" hidden="0" customWidth="1"/>
  </x:cols>
  <x:sheetData>
    <x:row r="1" ht="34" customHeight="1">
      <x:c r="A1" s="6" t="str">
        <x:v>理解確認・完成記録</x:v>
      </x:c>
      <x:c r="B1" s="6"/>
      <x:c r="C1" s="6"/>
      <x:c r="D1" s="6"/>
    </x:row>
    <x:row r="2" ht="34" customHeight="1">
      <x:c r="A2" s="6"/>
      <x:c r="B2" s="6"/>
      <x:c r="C2" s="6"/>
      <x:c r="D2" s="6"/>
    </x:row>
    <x:row r="4">
      <x:c r="A4" s="16" t="str">
        <x:v>No.</x:v>
      </x:c>
      <x:c r="B4" s="16" t="str">
        <x:v>理解確認</x:v>
      </x:c>
      <x:c r="C4" s="16" t="str">
        <x:v>回答</x:v>
      </x:c>
      <x:c r="D4" s="16" t="str">
        <x:v>目安</x:v>
      </x:c>
    </x:row>
    <x:row r="5">
      <x:c r="A5" s="24" t="n">
        <x:v>1</x:v>
      </x:c>
      <x:c r="B5" s="24" t="str">
        <x:v>月次更新の順番を固定する理由</x:v>
      </x:c>
      <x:c r="C5" s="28" t="str"/>
      <x:c r="D5" s="24" t="str">
        <x:v>1～2文</x:v>
      </x:c>
    </x:row>
    <x:row r="6">
      <x:c r="A6" s="24" t="n">
        <x:v>2</x:v>
      </x:c>
      <x:c r="B6" s="24" t="str">
        <x:v>Power BI更新前にExcelを保存する理由</x:v>
      </x:c>
      <x:c r="C6" s="28" t="str"/>
      <x:c r="D6" s="24" t="str">
        <x:v>1～2文</x:v>
      </x:c>
    </x:row>
    <x:row r="7">
      <x:c r="A7" s="24" t="n">
        <x:v>3</x:v>
      </x:c>
      <x:c r="B7" s="24" t="str">
        <x:v>更新前後に確認する主要3数値</x:v>
      </x:c>
      <x:c r="C7" s="28" t="str"/>
      <x:c r="D7" s="24" t="str">
        <x:v>短く記載</x:v>
      </x:c>
    </x:row>
    <x:row r="8">
      <x:c r="A8" s="24" t="n">
        <x:v>4</x:v>
      </x:c>
      <x:c r="B8" s="24" t="str">
        <x:v>Power BIが更新されない場合の確認順</x:v>
      </x:c>
      <x:c r="C8" s="28" t="str"/>
      <x:c r="D8" s="24" t="str">
        <x:v>1～2文</x:v>
      </x:c>
    </x:row>
    <x:row r="9">
      <x:c r="A9" s="24" t="n">
        <x:v>5</x:v>
      </x:c>
      <x:c r="B9" s="24" t="str">
        <x:v>更新作業の完了条件</x:v>
      </x:c>
      <x:c r="C9" s="28" t="str"/>
      <x:c r="D9" s="24" t="str">
        <x:v>1～2文</x:v>
      </x:c>
    </x:row>
    <x:row r="11">
      <x:c r="A11" s="16" t="str">
        <x:v>完成記録</x:v>
      </x:c>
      <x:c r="B11" s="16" t="str">
        <x:v>記入・選択</x:v>
      </x:c>
      <x:c r="C11" s="16" t="str">
        <x:v>期待</x:v>
      </x:c>
      <x:c r="D11" s="16" t="str">
        <x:v>補足</x:v>
      </x:c>
    </x:row>
    <x:row r="12">
      <x:c r="A12" s="24" t="str">
        <x:v>更新対象Excel</x:v>
      </x:c>
      <x:c r="B12" s="24" t="str"/>
      <x:c r="C12" s="24" t="str">
        <x:v>中級_第六章_月次更新_受講者名.xlsx</x:v>
      </x:c>
      <x:c r="D12" s="24" t="str"/>
    </x:row>
    <x:row r="13">
      <x:c r="A13" s="24" t="str">
        <x:v>更新対象PBIX</x:v>
      </x:c>
      <x:c r="B13" s="24" t="str"/>
      <x:c r="C13" s="24" t="str">
        <x:v>中級_第六章_PowerBI更新済_受講者名.pbix</x:v>
      </x:c>
      <x:c r="D13" s="24" t="str"/>
    </x:row>
    <x:row r="14">
      <x:c r="A14" s="24" t="str">
        <x:v>Excelテーブル名</x:v>
      </x:c>
      <x:c r="B14" s="24" t="str"/>
      <x:c r="C14" s="24" t="str">
        <x:v>月次実績テーブル</x:v>
      </x:c>
      <x:c r="D14" s="24" t="str"/>
    </x:row>
    <x:row r="15">
      <x:c r="A15" s="24" t="str">
        <x:v>更新前件数・売上・完了</x:v>
      </x:c>
      <x:c r="B15" s="24" t="str"/>
      <x:c r="C15" s="24" t="str">
        <x:v>18・2,410,000・13</x:v>
      </x:c>
      <x:c r="D15" s="24" t="str"/>
    </x:row>
    <x:row r="16">
      <x:c r="A16" s="24" t="str">
        <x:v>追加件数・売上・完了</x:v>
      </x:c>
      <x:c r="B16" s="24" t="str"/>
      <x:c r="C16" s="24" t="str">
        <x:v>6・750,000・4</x:v>
      </x:c>
      <x:c r="D16" s="24" t="str"/>
    </x:row>
    <x:row r="17">
      <x:c r="A17" s="24" t="str">
        <x:v>更新後件数・売上・完了</x:v>
      </x:c>
      <x:c r="B17" s="24" t="str"/>
      <x:c r="C17" s="24" t="str">
        <x:v>24・3,160,000・17</x:v>
      </x:c>
      <x:c r="D17" s="24" t="str"/>
    </x:row>
    <x:row r="18">
      <x:c r="A18" s="24" t="str">
        <x:v>更新後最新年月</x:v>
      </x:c>
      <x:c r="B18" s="24" t="str"/>
      <x:c r="C18" s="24" t="str">
        <x:v>2026-07</x:v>
      </x:c>
      <x:c r="D18" s="24" t="str"/>
    </x:row>
    <x:row r="19">
      <x:c r="A19" s="24" t="str">
        <x:v>Power BI全件値</x:v>
      </x:c>
      <x:c r="B19" s="24" t="str"/>
      <x:c r="C19" s="24" t="str">
        <x:v>3,160,000・24・17</x:v>
      </x:c>
      <x:c r="D19" s="24" t="str"/>
    </x:row>
    <x:row r="20">
      <x:c r="A20" s="24" t="str">
        <x:v>営業1課の確認値</x:v>
      </x:c>
      <x:c r="B20" s="24" t="str"/>
      <x:c r="C20" s="24" t="str">
        <x:v>1,070,000・8・6</x:v>
      </x:c>
      <x:c r="D20" s="24" t="str"/>
    </x:row>
    <x:row r="21">
      <x:c r="A21" s="24" t="str">
        <x:v>スライサー最終状態</x:v>
      </x:c>
      <x:c r="B21" s="24" t="str"/>
      <x:c r="C21" s="24" t="str">
        <x:v>全件</x:v>
      </x:c>
      <x:c r="D21" s="24" t="str"/>
    </x:row>
    <x:row r="22">
      <x:c r="A22" s="24" t="str">
        <x:v>Excel保存</x:v>
      </x:c>
      <x:c r="B22" s="24" t="str">
        <x:v>未確認</x:v>
      </x:c>
      <x:c r="C22" s="24" t="str">
        <x:v>OK</x:v>
      </x:c>
      <x:c r="D22" s="24" t="str"/>
    </x:row>
    <x:row r="23">
      <x:c r="A23" s="24" t="str">
        <x:v>PBIX保存</x:v>
      </x:c>
      <x:c r="B23" s="24" t="str">
        <x:v>未確認</x:v>
      </x:c>
      <x:c r="C23" s="24" t="str">
        <x:v>OK</x:v>
      </x:c>
      <x:c r="D23" s="24" t="str"/>
    </x:row>
    <x:row r="24">
      <x:c r="A24" s="24" t="str">
        <x:v>未解決事項</x:v>
      </x:c>
      <x:c r="B24" s="24" t="str"/>
      <x:c r="C24" s="24" t="str">
        <x:v>なし／内容を記載</x:v>
      </x:c>
      <x:c r="D24" s="24" t="str"/>
    </x:row>
    <x:row r="25">
      <x:c r="A25" s="24" t="str">
        <x:v>第六章の完成判定</x:v>
      </x:c>
      <x:c r="B25" s="24" t="str">
        <x:v>要確認</x:v>
      </x:c>
      <x:c r="C25" s="24" t="str">
        <x:v>完成</x:v>
      </x:c>
      <x:c r="D25" s="24" t="str"/>
    </x:row>
  </x:sheetData>
  <x:mergeCells>
    <x:mergeCell ref="A1:D2"/>
  </x:mergeCells>
  <x:dataValidations count="2">
    <x:dataValidation type="list" sqref="B22:B23">
      <x:formula1>"未確認,OK,要確認"</x:formula1>
    </x:dataValidation>
    <x:dataValidation type="list" sqref="B25">
      <x:formula1>"完成,要確認"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20" hidden="0" customWidth="1"/>
    <x:col min="4" max="4" width="18" hidden="0" customWidth="1"/>
    <x:col min="5" max="5" width="20" hidden="0" customWidth="1"/>
  </x:cols>
  <x:sheetData>
    <x:row r="1" ht="34" customHeight="1">
      <x:c r="A1" s="6" t="str">
        <x:v>月次更新の期待値</x:v>
      </x:c>
      <x:c r="B1" s="6"/>
      <x:c r="C1" s="6"/>
      <x:c r="D1" s="6"/>
      <x:c r="E1" s="6"/>
    </x:row>
    <x:row r="2" ht="34" customHeight="1">
      <x:c r="A2" s="6"/>
      <x:c r="B2" s="6"/>
      <x:c r="C2" s="6"/>
      <x:c r="D2" s="6"/>
      <x:c r="E2" s="6"/>
    </x:row>
    <x:row r="4">
      <x:c r="A4" s="16" t="str">
        <x:v>範囲</x:v>
      </x:c>
      <x:c r="B4" s="16" t="str">
        <x:v>明細件数</x:v>
      </x:c>
      <x:c r="C4" s="16" t="str">
        <x:v>売上合計</x:v>
      </x:c>
      <x:c r="D4" s="16" t="str">
        <x:v>完了件数</x:v>
      </x:c>
      <x:c r="E4" s="16" t="str">
        <x:v>進行中件数</x:v>
      </x:c>
    </x:row>
    <x:row r="5">
      <x:c r="A5" s="39" t="str">
        <x:v>更新前</x:v>
      </x:c>
      <x:c r="B5" s="39" t="n">
        <x:v>18</x:v>
      </x:c>
      <x:c r="C5" s="56" t="n">
        <x:v>2410000</x:v>
      </x:c>
      <x:c r="D5" s="39" t="n">
        <x:v>13</x:v>
      </x:c>
      <x:c r="E5" s="39" t="n">
        <x:v>5</x:v>
      </x:c>
    </x:row>
    <x:row r="6">
      <x:c r="A6" s="39" t="str">
        <x:v>追加分</x:v>
      </x:c>
      <x:c r="B6" s="39" t="n">
        <x:v>6</x:v>
      </x:c>
      <x:c r="C6" s="56" t="n">
        <x:v>750000</x:v>
      </x:c>
      <x:c r="D6" s="39" t="n">
        <x:v>4</x:v>
      </x:c>
      <x:c r="E6" s="39" t="n">
        <x:v>2</x:v>
      </x:c>
    </x:row>
    <x:row r="7">
      <x:c r="A7" s="39" t="str">
        <x:v>更新後</x:v>
      </x:c>
      <x:c r="B7" s="39" t="n">
        <x:v>24</x:v>
      </x:c>
      <x:c r="C7" s="56" t="n">
        <x:v>3160000</x:v>
      </x:c>
      <x:c r="D7" s="39" t="n">
        <x:v>17</x:v>
      </x:c>
      <x:c r="E7" s="39" t="n">
        <x:v>7</x:v>
      </x:c>
    </x:row>
    <x:row r="9">
      <x:c r="A9" s="16" t="str">
        <x:v>確認項目</x:v>
      </x:c>
      <x:c r="B9" s="16" t="str">
        <x:v>更新後</x:v>
      </x:c>
    </x:row>
    <x:row r="10">
      <x:c r="A10" s="39" t="str">
        <x:v>最新年月</x:v>
      </x:c>
      <x:c r="B10" s="39" t="str">
        <x:v>2026-07</x:v>
      </x:c>
    </x:row>
    <x:row r="11">
      <x:c r="A11" s="39" t="str">
        <x:v>田中一郎売上</x:v>
      </x:c>
      <x:c r="B11" s="39" t="str">
        <x:v>740,000</x:v>
      </x:c>
    </x:row>
    <x:row r="12">
      <x:c r="A12" s="39" t="str">
        <x:v>営業1課売上</x:v>
      </x:c>
      <x:c r="B12" s="39" t="str">
        <x:v>1,070,000</x:v>
      </x:c>
    </x:row>
    <x:row r="13">
      <x:c r="A13" s="39" t="str">
        <x:v>営業1課件数</x:v>
      </x:c>
      <x:c r="B13" s="39" t="str">
        <x:v>8</x:v>
      </x:c>
    </x:row>
    <x:row r="14">
      <x:c r="A14" s="39" t="str">
        <x:v>営業1課完了件数</x:v>
      </x:c>
      <x:c r="B14" s="39" t="str">
        <x:v>6</x:v>
      </x:c>
    </x:row>
    <x:row r="15">
      <x:c r="A15" s="39" t="str">
        <x:v>最終状態</x:v>
      </x:c>
      <x:c r="B15" s="39" t="str">
        <x:v>全件</x:v>
      </x:c>
    </x:row>
  </x:sheetData>
  <x:mergeCells>
    <x:mergeCell ref="A1:E2"/>
  </x:mergeCells>
  <x:pageMargins left="0.7" right="0.7" top="0.75" bottom="0.75" header="0.3" footer="0.3"/>
</x:worksheet>
</file>