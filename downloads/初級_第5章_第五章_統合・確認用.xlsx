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9383e27ab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" sheetId="1" r:id="Rce41e6b92a964871"/>
    <x:sheet xmlns:r="http://schemas.openxmlformats.org/officeDocument/2006/relationships" name="01_実績入力" sheetId="2" r:id="R42904b67077f4c16"/>
    <x:sheet xmlns:r="http://schemas.openxmlformats.org/officeDocument/2006/relationships" name="02_担当者マスタ" sheetId="3" r:id="R3918f4a85e384354"/>
    <x:sheet xmlns:r="http://schemas.openxmlformats.org/officeDocument/2006/relationships" name="03_案件マスタ" sheetId="4" r:id="R4623e87b8983450e"/>
    <x:sheet xmlns:r="http://schemas.openxmlformats.org/officeDocument/2006/relationships" name="04_作業区分マスタ" sheetId="5" r:id="R5b491587fc46405f"/>
    <x:sheet xmlns:r="http://schemas.openxmlformats.org/officeDocument/2006/relationships" name="05_集計" sheetId="6" r:id="Rf5096bf7d56f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&quot;分&quot;"/>
    <x:numFmt numFmtId="201" formatCode="0&quot;時間&quot;"/>
    <x:numFmt numFmtId="202" formatCode="yyyy/mm/dd"/>
    <x:numFmt numFmtId="203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F5F6F"/>
      </x:patternFill>
    </x:fill>
    <x:fill>
      <x:patternFill patternType="solid">
        <x:fgColor rgb="FF3C7386"/>
      </x:patternFill>
    </x:fill>
    <x:fill>
      <x:patternFill patternType="solid">
        <x:fgColor rgb="FFFFF3CD"/>
      </x:patternFill>
    </x:fill>
    <x:fill>
      <x:patternFill patternType="solid">
        <x:fgColor rgb="FFEAF3F6"/>
      </x:patternFill>
    </x:fill>
    <x:fill>
      <x:patternFill patternType="solid">
        <x:fgColor rgb="FFFFFFFF"/>
      </x:patternFill>
    </x:fill>
    <x:fill>
      <x:patternFill patternType="solid">
        <x:fgColor rgb="FFE8F3EE"/>
      </x:patternFill>
    </x:fill>
    <x:fill>
      <x:patternFill patternType="solid">
        <x:fgColor rgb="FFF3EAF8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  <x:xf numFmtId="203" fontId="3" fillId="4" borderId="0" xfId="0" applyNumberFormat="1" applyFont="1" applyFill="1" applyBorder="1" applyAlignment="1">
      <x:alignment vertical="top" wrapText="1"/>
    </x:xf>
    <x:xf numFmtId="203" fontId="3" fillId="4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203" fontId="3" fillId="7" borderId="0" xfId="0" applyNumberFormat="1" applyFont="1" applyFill="1" applyBorder="1" applyAlignment="1">
      <x:alignment vertical="top" wrapText="1"/>
    </x:xf>
    <x:xf numFmtId="203" fontId="3" fillId="7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4e9f835944c22" /><Relationship Type="http://schemas.openxmlformats.org/officeDocument/2006/relationships/theme" Target="/xl/theme/theme1.xml" Id="Rfbed5fcf21864ebf" /><Relationship Type="http://schemas.openxmlformats.org/officeDocument/2006/relationships/sharedStrings" Target="/xl/sharedStrings.xml" Id="R9369f111f6234fcf" /><Relationship Type="http://schemas.openxmlformats.org/officeDocument/2006/relationships/worksheet" Target="/xl/worksheets/sheet1.xml" Id="Rce41e6b92a964871" /><Relationship Type="http://schemas.openxmlformats.org/officeDocument/2006/relationships/worksheet" Target="/xl/worksheets/sheet2.xml" Id="R42904b67077f4c16" /><Relationship Type="http://schemas.openxmlformats.org/officeDocument/2006/relationships/worksheet" Target="/xl/worksheets/sheet3.xml" Id="R3918f4a85e384354" /><Relationship Type="http://schemas.openxmlformats.org/officeDocument/2006/relationships/worksheet" Target="/xl/worksheets/sheet4.xml" Id="R4623e87b8983450e" /><Relationship Type="http://schemas.openxmlformats.org/officeDocument/2006/relationships/worksheet" Target="/xl/worksheets/sheet5.xml" Id="R5b491587fc46405f" /><Relationship Type="http://schemas.openxmlformats.org/officeDocument/2006/relationships/worksheet" Target="/xl/worksheets/sheet6.xml" Id="Rf5096bf7d56f4133" /></Relationships>
</file>

<file path=xl/tables/table1.xml><?xml version="1.0" encoding="utf-8"?>
<x:table xmlns:x="http://schemas.openxmlformats.org/spreadsheetml/2006/main" id="1" name="実績テーブル" displayName="実績テーブル" ref="A3:L11" headerRowCount="1">
  <x:tableColumns count="12">
    <x:tableColumn id="1" name="実績日&#10;必須・入力"/>
    <x:tableColumn id="2" name="担当者コード&#10;必須・入力"/>
    <x:tableColumn id="3" name="担当者名&#10;自動・変更禁止"/>
    <x:tableColumn id="4" name="所属部署&#10;自動・変更禁止"/>
    <x:tableColumn id="5" name="案件コード&#10;必須・入力"/>
    <x:tableColumn id="6" name="案件名&#10;自動・変更禁止"/>
    <x:tableColumn id="7" name="作業区分コード&#10;必須・入力"/>
    <x:tableColumn id="8" name="作業区分名&#10;自動・変更禁止"/>
    <x:tableColumn id="9" name="作業時間&#10;必須・入力"/>
    <x:tableColumn id="10" name="ステータス&#10;必須・入力"/>
    <x:tableColumn id="11" name="備考&#10;任意・入力"/>
    <x:tableColumn id="12" name="入力確認&#10;自動・変更禁止"/>
  </x:tableColumns>
  <x:tableStyleInfo name="TableStyleMedium2" showRowStripes="1"/>
</x:table>
</file>

<file path=xl/tables/table2.xml><?xml version="1.0" encoding="utf-8"?>
<x:table xmlns:x="http://schemas.openxmlformats.org/spreadsheetml/2006/main" id="2" name="担当者マスタ" displayName="担当者マスタ" ref="A3:C6" headerRowCount="1">
  <x:tableColumns count="3">
    <x:tableColumn id="1" name="担当者コード"/>
    <x:tableColumn id="2" name="担当者名"/>
    <x:tableColumn id="3" name="所属部署"/>
  </x:tableColumns>
  <x:tableStyleInfo name="TableStyleMedium2" showRowStripes="1"/>
</x:table>
</file>

<file path=xl/tables/table3.xml><?xml version="1.0" encoding="utf-8"?>
<x:table xmlns:x="http://schemas.openxmlformats.org/spreadsheetml/2006/main" id="3" name="案件マスタ" displayName="案件マスタ" ref="A3:C6" headerRowCount="1">
  <x:tableColumns count="3">
    <x:tableColumn id="1" name="案件コード"/>
    <x:tableColumn id="2" name="案件名"/>
    <x:tableColumn id="3" name="担当部署"/>
  </x:tableColumns>
  <x:tableStyleInfo name="TableStyleMedium2" showRowStripes="1"/>
</x:table>
</file>

<file path=xl/tables/table4.xml><?xml version="1.0" encoding="utf-8"?>
<x:table xmlns:x="http://schemas.openxmlformats.org/spreadsheetml/2006/main" id="4" name="作業区分マスタ" displayName="作業区分マスタ" ref="A3:C6" headerRowCount="1">
  <x:tableColumns count="3">
    <x:tableColumn id="1" name="作業区分コード"/>
    <x:tableColumn id="2" name="作業区分名"/>
    <x:tableColumn id="3" name="作業分類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a626025f6940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27a4edf3914b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834557e1a145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78eb3e6dd940b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30" hidden="0" customWidth="1"/>
    <x:col min="5" max="5" width="30" hidden="0" customWidth="1"/>
    <x:col min="6" max="6" width="13" hidden="0" customWidth="1"/>
  </x:cols>
  <x:sheetData>
    <x:row r="1" ht="32" customHeight="1">
      <x:c r="A1" s="6" t="str">
        <x:v>月次作業実績管理ファイル　使い方・確認記録</x:v>
      </x:c>
      <x:c r="B1" s="6"/>
      <x:c r="C1" s="6"/>
      <x:c r="D1" s="6"/>
      <x:c r="E1" s="6"/>
      <x:c r="F1" s="6"/>
    </x:row>
    <x:row r="2" ht="32" customHeight="1">
      <x:c r="A2" s="6"/>
      <x:c r="B2" s="6"/>
      <x:c r="C2" s="6"/>
      <x:c r="D2" s="6"/>
      <x:c r="E2" s="6"/>
      <x:c r="F2" s="6"/>
    </x:row>
    <x:row r="4">
      <x:c r="A4" s="16" t="str">
        <x:v>基本情報</x:v>
      </x:c>
      <x:c r="B4" s="16" t="str">
        <x:v>入力・確認</x:v>
      </x:c>
    </x:row>
    <x:row r="5">
      <x:c r="A5" s="24" t="str">
        <x:v>このファイルの目的</x:v>
      </x:c>
      <x:c r="B5" s="24" t="str">
        <x:v>月次作業実績を1つの表へ記録し、担当者別・案件別・ステータス別に確認する</x:v>
      </x:c>
    </x:row>
    <x:row r="6">
      <x:c r="A6" s="24" t="str">
        <x:v>使用環境</x:v>
      </x:c>
      <x:c r="B6" s="28" t="str"/>
    </x:row>
    <x:row r="7">
      <x:c r="A7" s="24" t="str">
        <x:v>保存先</x:v>
      </x:c>
      <x:c r="B7" s="28" t="str"/>
    </x:row>
    <x:row r="8">
      <x:c r="A8" s="24" t="str">
        <x:v>受講者名</x:v>
      </x:c>
      <x:c r="B8" s="28" t="str"/>
    </x:row>
    <x:row r="9">
      <x:c r="A9" s="24" t="str">
        <x:v>問い合わせ先</x:v>
      </x:c>
      <x:c r="B9" s="24" t="str">
        <x:v>教材演習担当</x:v>
      </x:c>
    </x:row>
    <x:row r="11">
      <x:c r="A11" s="16" t="str">
        <x:v>順番</x:v>
      </x:c>
      <x:c r="B11" s="16" t="str">
        <x:v>やること</x:v>
      </x:c>
      <x:c r="C11" s="16" t="str">
        <x:v>使用シート</x:v>
      </x:c>
      <x:c r="D11" s="16" t="str">
        <x:v>変更してよい</x:v>
      </x:c>
      <x:c r="E11" s="16" t="str">
        <x:v>変更しない</x:v>
      </x:c>
      <x:c r="F11" s="16" t="str">
        <x:v>確認</x:v>
      </x:c>
    </x:row>
    <x:row r="12">
      <x:c r="A12" s="24" t="n">
        <x:v>1</x:v>
      </x:c>
      <x:c r="B12" s="24" t="str">
        <x:v>使い方と注意を確認</x:v>
      </x:c>
      <x:c r="C12" s="24" t="str">
        <x:v>00_使い方</x:v>
      </x:c>
      <x:c r="D12" s="24" t="str">
        <x:v>使用環境・保存先・受講者名</x:v>
      </x:c>
      <x:c r="E12" s="24" t="str">
        <x:v>見出し構成</x:v>
      </x:c>
      <x:c r="F12" s="24" t="str">
        <x:v>未確認</x:v>
      </x:c>
    </x:row>
    <x:row r="13">
      <x:c r="A13" s="24" t="n">
        <x:v>2</x:v>
      </x:c>
      <x:c r="B13" s="24" t="str">
        <x:v>実績を確認・入力</x:v>
      </x:c>
      <x:c r="C13" s="24" t="str">
        <x:v>01_実績入力</x:v>
      </x:c>
      <x:c r="D13" s="24" t="str">
        <x:v>必須入力列・備考</x:v>
      </x:c>
      <x:c r="E13" s="24" t="str">
        <x:v>自動表示列</x:v>
      </x:c>
      <x:c r="F13" s="24" t="str">
        <x:v>未確認</x:v>
      </x:c>
    </x:row>
    <x:row r="14">
      <x:c r="A14" s="24" t="n">
        <x:v>3</x:v>
      </x:c>
      <x:c r="B14" s="24" t="str">
        <x:v>コードの登録内容を確認</x:v>
      </x:c>
      <x:c r="C14" s="24" t="str">
        <x:v>02～04_各マスタ</x:v>
      </x:c>
      <x:c r="D14" s="24" t="str">
        <x:v>管理者が必要時のみ</x:v>
      </x:c>
      <x:c r="E14" s="24" t="str">
        <x:v>列名・テーブル名</x:v>
      </x:c>
      <x:c r="F14" s="24" t="str">
        <x:v>未確認</x:v>
      </x:c>
    </x:row>
    <x:row r="15">
      <x:c r="A15" s="24" t="n">
        <x:v>4</x:v>
      </x:c>
      <x:c r="B15" s="24" t="str">
        <x:v>集計結果を確認</x:v>
      </x:c>
      <x:c r="C15" s="24" t="str">
        <x:v>05_集計</x:v>
      </x:c>
      <x:c r="D15" s="24" t="str">
        <x:v>原則なし</x:v>
      </x:c>
      <x:c r="E15" s="24" t="str">
        <x:v>集計数式</x:v>
      </x:c>
      <x:c r="F15" s="24" t="str">
        <x:v>未確認</x:v>
      </x:c>
    </x:row>
    <x:row r="16">
      <x:c r="A16" s="24" t="n">
        <x:v>5</x:v>
      </x:c>
      <x:c r="B16" s="24" t="str">
        <x:v>テスト後に元へ戻す</x:v>
      </x:c>
      <x:c r="C16" s="24" t="str">
        <x:v>01_実績入力</x:v>
      </x:c>
      <x:c r="D16" s="24" t="str">
        <x:v>指定したテストセルのみ</x:v>
      </x:c>
      <x:c r="E16" s="24" t="str">
        <x:v>ほかの行・数式</x:v>
      </x:c>
      <x:c r="F16" s="24" t="str">
        <x:v>未確認</x:v>
      </x:c>
    </x:row>
    <x:row r="18">
      <x:c r="A18" s="16" t="str">
        <x:v>区分</x:v>
      </x:c>
      <x:c r="B18" s="16" t="str">
        <x:v>対象列</x:v>
      </x:c>
      <x:c r="C18" s="16" t="str">
        <x:v>日常の扱い</x:v>
      </x:c>
      <x:c r="D18" s="16" t="str">
        <x:v>表示方法</x:v>
      </x:c>
    </x:row>
    <x:row r="19">
      <x:c r="A19" s="24" t="str">
        <x:v>必須・入力</x:v>
      </x:c>
      <x:c r="B19" s="24" t="str">
        <x:v>実績日、担当者コード、案件コード、作業区分コード、作業時間、ステータス</x:v>
      </x:c>
      <x:c r="C19" s="24" t="str">
        <x:v>入力する</x:v>
      </x:c>
      <x:c r="D19" s="24" t="str">
        <x:v>淡い黄色</x:v>
      </x:c>
    </x:row>
    <x:row r="20">
      <x:c r="A20" s="24" t="str">
        <x:v>任意・入力</x:v>
      </x:c>
      <x:c r="B20" s="24" t="str">
        <x:v>備考</x:v>
      </x:c>
      <x:c r="C20" s="24" t="str">
        <x:v>必要な場合だけ入力</x:v>
      </x:c>
      <x:c r="D20" s="24" t="str">
        <x:v>白</x:v>
      </x:c>
    </x:row>
    <x:row r="21">
      <x:c r="A21" s="24" t="str">
        <x:v>自動・変更禁止</x:v>
      </x:c>
      <x:c r="B21" s="24" t="str">
        <x:v>担当者名、所属部署、案件名、作業区分名、入力確認</x:v>
      </x:c>
      <x:c r="C21" s="24" t="str">
        <x:v>直接入力しない</x:v>
      </x:c>
      <x:c r="D21" s="24" t="str">
        <x:v>淡い緑・紫</x:v>
      </x:c>
    </x:row>
    <x:row r="23">
      <x:c r="A23" s="16" t="str">
        <x:v>エラー・状態</x:v>
      </x:c>
      <x:c r="B23" s="16" t="str">
        <x:v>最初に見る</x:v>
      </x:c>
      <x:c r="C23" s="16" t="str">
        <x:v>次に見る</x:v>
      </x:c>
      <x:c r="D23" s="16" t="str">
        <x:v>対応</x:v>
      </x:c>
    </x:row>
    <x:row r="24">
      <x:c r="A24" s="24" t="str">
        <x:v>未登録</x:v>
      </x:c>
      <x:c r="B24" s="24" t="str">
        <x:v>入力コード</x:v>
      </x:c>
      <x:c r="C24" s="24" t="str">
        <x:v>対象マスタ</x:v>
      </x:c>
      <x:c r="D24" s="24" t="str">
        <x:v>正しいコードへ戻す・登録を確認</x:v>
      </x:c>
    </x:row>
    <x:row r="25">
      <x:c r="A25" s="24" t="str">
        <x:v>要確認</x:v>
      </x:c>
      <x:c r="B25" s="24" t="str">
        <x:v>必須項目の空欄</x:v>
      </x:c>
      <x:c r="C25" s="24" t="str">
        <x:v>未登録表示</x:v>
      </x:c>
      <x:c r="D25" s="24" t="str">
        <x:v>入力欄を修正</x:v>
      </x:c>
    </x:row>
    <x:row r="26">
      <x:c r="A26" s="24" t="str">
        <x:v>集計値が違う</x:v>
      </x:c>
      <x:c r="B26" s="24" t="str">
        <x:v>標準8件・テスト値</x:v>
      </x:c>
      <x:c r="C26" s="24" t="str">
        <x:v>実績の絞り込み</x:v>
      </x:c>
      <x:c r="D26" s="24" t="str">
        <x:v>数式を変更せず講師へ確認</x:v>
      </x:c>
    </x:row>
    <x:row r="27">
      <x:c r="A27" s="24" t="str">
        <x:v>編集できない</x:v>
      </x:c>
      <x:c r="B27" s="24" t="str">
        <x:v>読み取り専用</x:v>
      </x:c>
      <x:c r="C27" s="24" t="str">
        <x:v>保存先・権限</x:v>
      </x:c>
      <x:c r="D27" s="24" t="str">
        <x:v>講師へ連絡</x:v>
      </x:c>
    </x:row>
    <x:row r="29">
      <x:c r="A29" s="16" t="str">
        <x:v>比較項目</x:v>
      </x:c>
      <x:c r="B29" s="16" t="str">
        <x:v>改善前</x:v>
      </x:c>
      <x:c r="C29" s="16" t="str">
        <x:v>改善後</x:v>
      </x:c>
      <x:c r="D29" s="16" t="str">
        <x:v>効果</x:v>
      </x:c>
    </x:row>
    <x:row r="30">
      <x:c r="A30" s="24" t="str">
        <x:v>ファイル</x:v>
      </x:c>
      <x:c r="B30" s="24" t="str">
        <x:v>担当者別ファイルと集計表に分散</x:v>
      </x:c>
      <x:c r="C30" s="24" t="str">
        <x:v>1つのブック</x:v>
      </x:c>
      <x:c r="D30" s="24" t="str">
        <x:v>探す場所を統一</x:v>
      </x:c>
    </x:row>
    <x:row r="31">
      <x:c r="A31" s="24" t="str">
        <x:v>名称入力</x:v>
      </x:c>
      <x:c r="B31" s="24" t="str">
        <x:v>自由入力</x:v>
      </x:c>
      <x:c r="C31" s="24" t="str">
        <x:v>コードから自動表示</x:v>
      </x:c>
      <x:c r="D31" s="24" t="str">
        <x:v>表記揺れを防止</x:v>
      </x:c>
    </x:row>
    <x:row r="32">
      <x:c r="A32" s="24" t="str">
        <x:v>入力漏れ</x:v>
      </x:c>
      <x:c r="B32" s="24" t="str">
        <x:v>提出後に確認</x:v>
      </x:c>
      <x:c r="C32" s="24" t="str">
        <x:v>入力時に要確認</x:v>
      </x:c>
      <x:c r="D32" s="24" t="str">
        <x:v>早く気付ける</x:v>
      </x:c>
    </x:row>
    <x:row r="33">
      <x:c r="A33" s="24" t="str">
        <x:v>転記・集計</x:v>
      </x:c>
      <x:c r="B33" s="24" t="str">
        <x:v>手作業</x:v>
      </x:c>
      <x:c r="C33" s="24" t="str">
        <x:v>関数で集計</x:v>
      </x:c>
      <x:c r="D33" s="24" t="str">
        <x:v>転記を削減</x:v>
      </x:c>
    </x:row>
    <x:row r="34">
      <x:c r="A34" s="24" t="str">
        <x:v>使い方</x:v>
      </x:c>
      <x:c r="B34" s="24" t="str">
        <x:v>口頭・手元メモ</x:v>
      </x:c>
      <x:c r="C34" s="24" t="str">
        <x:v>00_使い方</x:v>
      </x:c>
      <x:c r="D34" s="24" t="str">
        <x:v>初めてでも開始可能</x:v>
      </x:c>
    </x:row>
    <x:row r="36">
      <x:c r="A36" s="16" t="str">
        <x:v>削減時間</x:v>
      </x:c>
      <x:c r="B36" s="16" t="str">
        <x:v>値</x:v>
      </x:c>
      <x:c r="C36" s="16" t="str">
        <x:v>計算</x:v>
      </x:c>
      <x:c r="D36" s="16" t="str">
        <x:v>確認</x:v>
      </x:c>
    </x:row>
    <x:row r="37">
      <x:c r="A37" s="33" t="str">
        <x:v>改善前（月）</x:v>
      </x:c>
      <x:c r="B37" s="38" t="n">
        <x:v>100</x:v>
      </x:c>
      <x:c r="C37" s="33" t="str">
        <x:v>研修用前提</x:v>
      </x:c>
      <x:c r="D37" s="33" t="str">
        <x:v>OK</x:v>
      </x:c>
    </x:row>
    <x:row r="38">
      <x:c r="A38" s="33" t="str">
        <x:v>改善後（月）</x:v>
      </x:c>
      <x:c r="B38" s="38" t="n">
        <x:v>30</x:v>
      </x:c>
      <x:c r="C38" s="33" t="str">
        <x:v>研修用前提</x:v>
      </x:c>
      <x:c r="D38" s="33" t="str">
        <x:v>OK</x:v>
      </x:c>
    </x:row>
    <x:row r="39">
      <x:c r="A39" s="33" t="str">
        <x:v>月間削減</x:v>
      </x:c>
      <x:c r="B39" s="38" t="n">
        <x:v>70</x:v>
      </x:c>
      <x:c r="C39" s="33" t="str">
        <x:v>100－30</x:v>
      </x:c>
      <x:c r="D39" s="33" t="str">
        <x:v>OK</x:v>
      </x:c>
    </x:row>
    <x:row r="40">
      <x:c r="A40" s="33" t="str">
        <x:v>年間削減</x:v>
      </x:c>
      <x:c r="B40" s="40" t="n">
        <x:v>14</x:v>
      </x:c>
      <x:c r="C40" s="33" t="str">
        <x:v>70×12÷60</x:v>
      </x:c>
      <x:c r="D40" s="33" t="str">
        <x:v>時間</x:v>
      </x:c>
    </x:row>
    <x:row r="42">
      <x:c r="A42" s="16" t="str">
        <x:v>操作記録</x:v>
      </x:c>
      <x:c r="B42" s="16" t="str">
        <x:v>記入・選択</x:v>
      </x:c>
      <x:c r="C42" s="16" t="str">
        <x:v>期待</x:v>
      </x:c>
      <x:c r="D42" s="16" t="str">
        <x:v>補足</x:v>
      </x:c>
    </x:row>
    <x:row r="43">
      <x:c r="A43" s="24" t="str">
        <x:v>ファイル名</x:v>
      </x:c>
      <x:c r="B43" s="24" t="str"/>
      <x:c r="C43" s="24" t="str">
        <x:v>月次作業実績管理ファイル_受講者名.xlsx</x:v>
      </x:c>
      <x:c r="D43" s="24" t="str"/>
    </x:row>
    <x:row r="44">
      <x:c r="A44" s="24" t="str">
        <x:v>6シート確認</x:v>
      </x:c>
      <x:c r="B44" s="24" t="str">
        <x:v>未確認</x:v>
      </x:c>
      <x:c r="C44" s="24" t="str">
        <x:v>OK</x:v>
      </x:c>
      <x:c r="D44" s="24" t="str"/>
    </x:row>
    <x:row r="45">
      <x:c r="A45" s="24" t="str">
        <x:v>入力列・自動表示列</x:v>
      </x:c>
      <x:c r="B45" s="24" t="str">
        <x:v>未確認</x:v>
      </x:c>
      <x:c r="C45" s="24" t="str">
        <x:v>OK</x:v>
      </x:c>
      <x:c r="D45" s="24" t="str"/>
    </x:row>
    <x:row r="46">
      <x:c r="A46" s="24" t="str">
        <x:v>標準集計値</x:v>
      </x:c>
      <x:c r="B46" s="24" t="str">
        <x:v>未確認</x:v>
      </x:c>
      <x:c r="C46" s="24" t="str">
        <x:v>OK</x:v>
      </x:c>
      <x:c r="D46" s="24" t="str"/>
    </x:row>
    <x:row r="47">
      <x:c r="A47" s="24" t="str">
        <x:v>E001手計算</x:v>
      </x:c>
      <x:c r="B47" s="24" t="str">
        <x:v>未確認</x:v>
      </x:c>
      <x:c r="C47" s="24" t="str">
        <x:v>OK</x:v>
      </x:c>
      <x:c r="D47" s="24" t="str"/>
    </x:row>
    <x:row r="48">
      <x:c r="A48" s="24" t="str">
        <x:v>空欄テスト</x:v>
      </x:c>
      <x:c r="B48" s="24" t="str">
        <x:v>未確認</x:v>
      </x:c>
      <x:c r="C48" s="24" t="str">
        <x:v>OK</x:v>
      </x:c>
      <x:c r="D48" s="24" t="str"/>
    </x:row>
    <x:row r="49">
      <x:c r="A49" s="24" t="str">
        <x:v>未登録テスト</x:v>
      </x:c>
      <x:c r="B49" s="24" t="str">
        <x:v>未確認</x:v>
      </x:c>
      <x:c r="C49" s="24" t="str">
        <x:v>OK</x:v>
      </x:c>
      <x:c r="D49" s="24" t="str"/>
    </x:row>
    <x:row r="50">
      <x:c r="A50" s="24" t="str">
        <x:v>復元確認</x:v>
      </x:c>
      <x:c r="B50" s="24" t="str">
        <x:v>未確認</x:v>
      </x:c>
      <x:c r="C50" s="24" t="str">
        <x:v>OK</x:v>
      </x:c>
      <x:c r="D50" s="24" t="str"/>
    </x:row>
    <x:row r="51">
      <x:c r="A51" s="24" t="str">
        <x:v>未解決の質問</x:v>
      </x:c>
      <x:c r="B51" s="24" t="str"/>
      <x:c r="C51" s="24" t="str">
        <x:v>なし／内容を記載</x:v>
      </x:c>
      <x:c r="D51" s="24" t="str"/>
    </x:row>
    <x:row r="52">
      <x:c r="A52" s="24" t="str">
        <x:v>第五章の完成判定</x:v>
      </x:c>
      <x:c r="B52" s="24" t="str">
        <x:v>要確認</x:v>
      </x:c>
      <x:c r="C52" s="24" t="str">
        <x:v>完成</x:v>
      </x:c>
      <x:c r="D52" s="24" t="str"/>
    </x:row>
  </x:sheetData>
  <x:mergeCells>
    <x:mergeCell ref="A1:F2"/>
  </x:mergeCells>
  <x:dataValidations count="4">
    <x:dataValidation type="list" sqref="B6">
      <x:formula1>"パソコン版,Web版"</x:formula1>
    </x:dataValidation>
    <x:dataValidation type="list" sqref="F12:F16">
      <x:formula1>"未確認,OK,要確認"</x:formula1>
    </x:dataValidation>
    <x:dataValidation type="list" sqref="B44:B50">
      <x:formula1>"未確認,OK,要確認"</x:formula1>
    </x:dataValidation>
    <x:dataValidation type="list" sqref="B52">
      <x:formula1>"完成,要確認"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9" hidden="0" customWidth="1"/>
    <x:col min="9" max="9" width="16" hidden="0" customWidth="1"/>
    <x:col min="10" max="10" width="18" hidden="0" customWidth="1"/>
    <x:col min="11" max="11" width="24" hidden="0" customWidth="1"/>
    <x:col min="12" max="12" width="18" hidden="0" customWidth="1"/>
  </x:cols>
  <x:sheetData>
    <x:row r="1" ht="32" customHeight="1">
      <x:c r="A1" s="6" t="str">
        <x:v>実績入力　黄色・白の列だけ入力します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6" t="str">
        <x:v>実績日
必須・入力</x:v>
      </x:c>
      <x:c r="B3" s="16" t="str">
        <x:v>担当者コード
必須・入力</x:v>
      </x:c>
      <x:c r="C3" s="16" t="str">
        <x:v>担当者名
自動・変更禁止</x:v>
      </x:c>
      <x:c r="D3" s="16" t="str">
        <x:v>所属部署
自動・変更禁止</x:v>
      </x:c>
      <x:c r="E3" s="16" t="str">
        <x:v>案件コード
必須・入力</x:v>
      </x:c>
      <x:c r="F3" s="16" t="str">
        <x:v>案件名
自動・変更禁止</x:v>
      </x:c>
      <x:c r="G3" s="16" t="str">
        <x:v>作業区分コード
必須・入力</x:v>
      </x:c>
      <x:c r="H3" s="16" t="str">
        <x:v>作業区分名
自動・変更禁止</x:v>
      </x:c>
      <x:c r="I3" s="16" t="str">
        <x:v>作業時間
必須・入力</x:v>
      </x:c>
      <x:c r="J3" s="16" t="str">
        <x:v>ステータス
必須・入力</x:v>
      </x:c>
      <x:c r="K3" s="16" t="str">
        <x:v>備考
任意・入力</x:v>
      </x:c>
      <x:c r="L3" s="16" t="str">
        <x:v>入力確認
自動・変更禁止</x:v>
      </x:c>
    </x:row>
    <x:row r="4">
      <x:c r="A4" s="48" t="n">
        <x:v>46204</x:v>
      </x:c>
      <x:c r="B4" s="28" t="str">
        <x:v>E001</x:v>
      </x:c>
      <x:c r="C4" s="44" t="e">
        <x:f>XLOOKUP(B4,02_担当者マスタ!$A$4:$A$6,02_担当者マスタ!$B$4:$B$6,"未登録")</x:f>
      </x:c>
      <x:c r="D4" s="44" t="e">
        <x:f>XLOOKUP(B4,02_担当者マスタ!$A$4:$A$6,02_担当者マスタ!$C$4:$C$6,"未登録")</x:f>
      </x:c>
      <x:c r="E4" s="28" t="str">
        <x:v>P001</x:v>
      </x:c>
      <x:c r="F4" s="44" t="e">
        <x:f>XLOOKUP(E4,03_案件マスタ!$A$4:$A$6,03_案件マスタ!$B$4:$B$6,"未登録")</x:f>
      </x:c>
      <x:c r="G4" s="28" t="str">
        <x:v>W001</x:v>
      </x:c>
      <x:c r="H4" s="44" t="e">
        <x:f>XLOOKUP(G4,04_作業区分マスタ!$A$4:$A$6,04_作業区分マスタ!$B$4:$B$6,"未登録")</x:f>
      </x:c>
      <x:c r="I4" s="50" t="n">
        <x:v>2</x:v>
      </x:c>
      <x:c r="J4" s="28" t="str">
        <x:v>完了</x:v>
      </x:c>
      <x:c r="K4" s="42" t="str"/>
      <x:c r="L4" s="46" t="e">
        <x:f>IF(OR(A4="",B4="",C4="未登録",E4="",F4="未登録",G4="",H4="未登録",I4="",J4=""),"要確認","OK")</x:f>
      </x:c>
    </x:row>
    <x:row r="5">
      <x:c r="A5" s="48" t="n">
        <x:v>46204</x:v>
      </x:c>
      <x:c r="B5" s="28" t="str">
        <x:v>E001</x:v>
      </x:c>
      <x:c r="C5" s="44" t="e">
        <x:f>XLOOKUP(B5,02_担当者マスタ!$A$4:$A$6,02_担当者マスタ!$B$4:$B$6,"未登録")</x:f>
      </x:c>
      <x:c r="D5" s="44" t="e">
        <x:f>XLOOKUP(B5,02_担当者マスタ!$A$4:$A$6,02_担当者マスタ!$C$4:$C$6,"未登録")</x:f>
      </x:c>
      <x:c r="E5" s="28" t="str">
        <x:v>P002</x:v>
      </x:c>
      <x:c r="F5" s="44" t="e">
        <x:f>XLOOKUP(E5,03_案件マスタ!$A$4:$A$6,03_案件マスタ!$B$4:$B$6,"未登録")</x:f>
      </x:c>
      <x:c r="G5" s="28" t="str">
        <x:v>W002</x:v>
      </x:c>
      <x:c r="H5" s="44" t="e">
        <x:f>XLOOKUP(G5,04_作業区分マスタ!$A$4:$A$6,04_作業区分マスタ!$B$4:$B$6,"未登録")</x:f>
      </x:c>
      <x:c r="I5" s="50" t="n">
        <x:v>1</x:v>
      </x:c>
      <x:c r="J5" s="28" t="str">
        <x:v>完了</x:v>
      </x:c>
      <x:c r="K5" s="42" t="str"/>
      <x:c r="L5" s="46" t="e">
        <x:f>IF(OR(A5="",B5="",C5="未登録",E5="",F5="未登録",G5="",H5="未登録",I5="",J5=""),"要確認","OK")</x:f>
      </x:c>
    </x:row>
    <x:row r="6">
      <x:c r="A6" s="48" t="n">
        <x:v>46205</x:v>
      </x:c>
      <x:c r="B6" s="28" t="str">
        <x:v>E002</x:v>
      </x:c>
      <x:c r="C6" s="44" t="e">
        <x:f>XLOOKUP(B6,02_担当者マスタ!$A$4:$A$6,02_担当者マスタ!$B$4:$B$6,"未登録")</x:f>
      </x:c>
      <x:c r="D6" s="44" t="e">
        <x:f>XLOOKUP(B6,02_担当者マスタ!$A$4:$A$6,02_担当者マスタ!$C$4:$C$6,"未登録")</x:f>
      </x:c>
      <x:c r="E6" s="28" t="str">
        <x:v>P001</x:v>
      </x:c>
      <x:c r="F6" s="44" t="e">
        <x:f>XLOOKUP(E6,03_案件マスタ!$A$4:$A$6,03_案件マスタ!$B$4:$B$6,"未登録")</x:f>
      </x:c>
      <x:c r="G6" s="28" t="str">
        <x:v>W003</x:v>
      </x:c>
      <x:c r="H6" s="44" t="e">
        <x:f>XLOOKUP(G6,04_作業区分マスタ!$A$4:$A$6,04_作業区分マスタ!$B$4:$B$6,"未登録")</x:f>
      </x:c>
      <x:c r="I6" s="50" t="n">
        <x:v>1.5</x:v>
      </x:c>
      <x:c r="J6" s="28" t="str">
        <x:v>完了</x:v>
      </x:c>
      <x:c r="K6" s="42" t="str"/>
      <x:c r="L6" s="46" t="e">
        <x:f>IF(OR(A6="",B6="",C6="未登録",E6="",F6="未登録",G6="",H6="未登録",I6="",J6=""),"要確認","OK")</x:f>
      </x:c>
    </x:row>
    <x:row r="7">
      <x:c r="A7" s="48" t="n">
        <x:v>46205</x:v>
      </x:c>
      <x:c r="B7" s="28" t="str">
        <x:v>E002</x:v>
      </x:c>
      <x:c r="C7" s="44" t="e">
        <x:f>XLOOKUP(B7,02_担当者マスタ!$A$4:$A$6,02_担当者マスタ!$B$4:$B$6,"未登録")</x:f>
      </x:c>
      <x:c r="D7" s="44" t="e">
        <x:f>XLOOKUP(B7,02_担当者マスタ!$A$4:$A$6,02_担当者マスタ!$C$4:$C$6,"未登録")</x:f>
      </x:c>
      <x:c r="E7" s="28" t="str">
        <x:v>P003</x:v>
      </x:c>
      <x:c r="F7" s="44" t="e">
        <x:f>XLOOKUP(E7,03_案件マスタ!$A$4:$A$6,03_案件マスタ!$B$4:$B$6,"未登録")</x:f>
      </x:c>
      <x:c r="G7" s="28" t="str">
        <x:v>W001</x:v>
      </x:c>
      <x:c r="H7" s="44" t="e">
        <x:f>XLOOKUP(G7,04_作業区分マスタ!$A$4:$A$6,04_作業区分マスタ!$B$4:$B$6,"未登録")</x:f>
      </x:c>
      <x:c r="I7" s="50" t="n">
        <x:v>2</x:v>
      </x:c>
      <x:c r="J7" s="28" t="str">
        <x:v>完了</x:v>
      </x:c>
      <x:c r="K7" s="42" t="str"/>
      <x:c r="L7" s="46" t="e">
        <x:f>IF(OR(A7="",B7="",C7="未登録",E7="",F7="未登録",G7="",H7="未登録",I7="",J7=""),"要確認","OK")</x:f>
      </x:c>
    </x:row>
    <x:row r="8">
      <x:c r="A8" s="48" t="n">
        <x:v>46206</x:v>
      </x:c>
      <x:c r="B8" s="28" t="str">
        <x:v>E001</x:v>
      </x:c>
      <x:c r="C8" s="44" t="e">
        <x:f>XLOOKUP(B8,02_担当者マスタ!$A$4:$A$6,02_担当者マスタ!$B$4:$B$6,"未登録")</x:f>
      </x:c>
      <x:c r="D8" s="44" t="e">
        <x:f>XLOOKUP(B8,02_担当者マスタ!$A$4:$A$6,02_担当者マスタ!$C$4:$C$6,"未登録")</x:f>
      </x:c>
      <x:c r="E8" s="28" t="str">
        <x:v>P002</x:v>
      </x:c>
      <x:c r="F8" s="44" t="e">
        <x:f>XLOOKUP(E8,03_案件マスタ!$A$4:$A$6,03_案件マスタ!$B$4:$B$6,"未登録")</x:f>
      </x:c>
      <x:c r="G8" s="28" t="str">
        <x:v>W002</x:v>
      </x:c>
      <x:c r="H8" s="44" t="e">
        <x:f>XLOOKUP(G8,04_作業区分マスタ!$A$4:$A$6,04_作業区分マスタ!$B$4:$B$6,"未登録")</x:f>
      </x:c>
      <x:c r="I8" s="50" t="n">
        <x:v>0.5</x:v>
      </x:c>
      <x:c r="J8" s="28" t="str">
        <x:v>完了</x:v>
      </x:c>
      <x:c r="K8" s="42" t="str"/>
      <x:c r="L8" s="46" t="e">
        <x:f>IF(OR(A8="",B8="",C8="未登録",E8="",F8="未登録",G8="",H8="未登録",I8="",J8=""),"要確認","OK")</x:f>
      </x:c>
    </x:row>
    <x:row r="9">
      <x:c r="A9" s="48" t="n">
        <x:v>46207</x:v>
      </x:c>
      <x:c r="B9" s="28" t="str">
        <x:v>E003</x:v>
      </x:c>
      <x:c r="C9" s="44" t="e">
        <x:f>XLOOKUP(B9,02_担当者マスタ!$A$4:$A$6,02_担当者マスタ!$B$4:$B$6,"未登録")</x:f>
      </x:c>
      <x:c r="D9" s="44" t="e">
        <x:f>XLOOKUP(B9,02_担当者マスタ!$A$4:$A$6,02_担当者マスタ!$C$4:$C$6,"未登録")</x:f>
      </x:c>
      <x:c r="E9" s="28" t="str">
        <x:v>P003</x:v>
      </x:c>
      <x:c r="F9" s="44" t="e">
        <x:f>XLOOKUP(E9,03_案件マスタ!$A$4:$A$6,03_案件マスタ!$B$4:$B$6,"未登録")</x:f>
      </x:c>
      <x:c r="G9" s="28" t="str">
        <x:v>W003</x:v>
      </x:c>
      <x:c r="H9" s="44" t="e">
        <x:f>XLOOKUP(G9,04_作業区分マスタ!$A$4:$A$6,04_作業区分マスタ!$B$4:$B$6,"未登録")</x:f>
      </x:c>
      <x:c r="I9" s="50" t="n">
        <x:v>1</x:v>
      </x:c>
      <x:c r="J9" s="28" t="str">
        <x:v>進行中</x:v>
      </x:c>
      <x:c r="K9" s="42" t="str"/>
      <x:c r="L9" s="46" t="e">
        <x:f>IF(OR(A9="",B9="",C9="未登録",E9="",F9="未登録",G9="",H9="未登録",I9="",J9=""),"要確認","OK")</x:f>
      </x:c>
    </x:row>
    <x:row r="10">
      <x:c r="A10" s="48" t="n">
        <x:v>46207</x:v>
      </x:c>
      <x:c r="B10" s="28" t="str">
        <x:v>E003</x:v>
      </x:c>
      <x:c r="C10" s="44" t="e">
        <x:f>XLOOKUP(B10,02_担当者マスタ!$A$4:$A$6,02_担当者マスタ!$B$4:$B$6,"未登録")</x:f>
      </x:c>
      <x:c r="D10" s="44" t="e">
        <x:f>XLOOKUP(B10,02_担当者マスタ!$A$4:$A$6,02_担当者マスタ!$C$4:$C$6,"未登録")</x:f>
      </x:c>
      <x:c r="E10" s="28" t="str">
        <x:v>P001</x:v>
      </x:c>
      <x:c r="F10" s="44" t="e">
        <x:f>XLOOKUP(E10,03_案件マスタ!$A$4:$A$6,03_案件マスタ!$B$4:$B$6,"未登録")</x:f>
      </x:c>
      <x:c r="G10" s="28" t="str">
        <x:v>W002</x:v>
      </x:c>
      <x:c r="H10" s="44" t="e">
        <x:f>XLOOKUP(G10,04_作業区分マスタ!$A$4:$A$6,04_作業区分マスタ!$B$4:$B$6,"未登録")</x:f>
      </x:c>
      <x:c r="I10" s="50" t="n">
        <x:v>2</x:v>
      </x:c>
      <x:c r="J10" s="28" t="str">
        <x:v>進行中</x:v>
      </x:c>
      <x:c r="K10" s="42" t="str"/>
      <x:c r="L10" s="46" t="e">
        <x:f>IF(OR(A10="",B10="",C10="未登録",E10="",F10="未登録",G10="",H10="未登録",I10="",J10=""),"要確認","OK")</x:f>
      </x:c>
    </x:row>
    <x:row r="11">
      <x:c r="A11" s="48" t="n">
        <x:v>46208</x:v>
      </x:c>
      <x:c r="B11" s="28" t="str">
        <x:v>E002</x:v>
      </x:c>
      <x:c r="C11" s="44" t="e">
        <x:f>XLOOKUP(B11,02_担当者マスタ!$A$4:$A$6,02_担当者マスタ!$B$4:$B$6,"未登録")</x:f>
      </x:c>
      <x:c r="D11" s="44" t="e">
        <x:f>XLOOKUP(B11,02_担当者マスタ!$A$4:$A$6,02_担当者マスタ!$C$4:$C$6,"未登録")</x:f>
      </x:c>
      <x:c r="E11" s="28" t="str">
        <x:v>P002</x:v>
      </x:c>
      <x:c r="F11" s="44" t="e">
        <x:f>XLOOKUP(E11,03_案件マスタ!$A$4:$A$6,03_案件マスタ!$B$4:$B$6,"未登録")</x:f>
      </x:c>
      <x:c r="G11" s="28" t="str">
        <x:v>W001</x:v>
      </x:c>
      <x:c r="H11" s="44" t="e">
        <x:f>XLOOKUP(G11,04_作業区分マスタ!$A$4:$A$6,04_作業区分マスタ!$B$4:$B$6,"未登録")</x:f>
      </x:c>
      <x:c r="I11" s="50" t="n">
        <x:v>1.5</x:v>
      </x:c>
      <x:c r="J11" s="28" t="str">
        <x:v>完了</x:v>
      </x:c>
      <x:c r="K11" s="42" t="str">
        <x:v>追加テスト</x:v>
      </x:c>
      <x:c r="L11" s="46" t="e">
        <x:f>IF(OR(A11="",B11="",C11="未登録",E11="",F11="未登録",G11="",H11="未登録",I11="",J11=""),"要確認","OK")</x:f>
      </x:c>
    </x:row>
  </x:sheetData>
  <x:mergeCells>
    <x:mergeCell ref="A1:L2"/>
  </x:mergeCells>
  <x:dataValidations count="5">
    <x:dataValidation type="list" sqref="B4:B11">
      <x:formula1>"E001,E002,E003,E999"</x:formula1>
    </x:dataValidation>
    <x:dataValidation type="list" sqref="E4:E11">
      <x:formula1>"P001,P002,P003,P999"</x:formula1>
    </x:dataValidation>
    <x:dataValidation type="list" sqref="G4:G11">
      <x:formula1>"W001,W002,W003"</x:formula1>
    </x:dataValidation>
    <x:dataValidation type="decimal" operator="between" sqref="I4:I11">
      <x:formula1>0</x:formula1>
      <x:formula2>24</x:formula2>
    </x:dataValidation>
    <x:dataValidation type="list" sqref="J4:J11">
      <x:formula1>"未着手,進行中,完了"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a626025f6940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担当者マスタ</x:v>
      </x:c>
      <x:c r="B1" s="6"/>
      <x:c r="C1" s="6"/>
    </x:row>
    <x:row r="2" ht="32" customHeight="1">
      <x:c r="A2" s="6"/>
      <x:c r="B2" s="6"/>
      <x:c r="C2" s="6"/>
    </x:row>
    <x:row r="3">
      <x:c r="A3" s="16" t="str">
        <x:v>担当者コード</x:v>
      </x:c>
      <x:c r="B3" s="16" t="str">
        <x:v>担当者名</x:v>
      </x:c>
      <x:c r="C3" s="16" t="str">
        <x:v>所属部署</x:v>
      </x:c>
      <x:c r="E3" s="16" t="str">
        <x:v>管理項目</x:v>
      </x:c>
      <x:c r="F3" s="16" t="str">
        <x:v>内容</x:v>
      </x:c>
    </x:row>
    <x:row r="4">
      <x:c r="A4" s="24" t="str">
        <x:v>E001</x:v>
      </x:c>
      <x:c r="B4" s="24" t="str">
        <x:v>佐藤太郎</x:v>
      </x:c>
      <x:c r="C4" s="24" t="str">
        <x:v>技術部</x:v>
      </x:c>
      <x:c r="E4" s="33" t="str">
        <x:v>件数</x:v>
      </x:c>
      <x:c r="F4" s="33" t="n">
        <x:v>3</x:v>
      </x:c>
    </x:row>
    <x:row r="5">
      <x:c r="A5" s="24" t="str">
        <x:v>E002</x:v>
      </x:c>
      <x:c r="B5" s="24" t="str">
        <x:v>鈴木花子</x:v>
      </x:c>
      <x:c r="C5" s="24" t="str">
        <x:v>営業部</x:v>
      </x:c>
      <x:c r="E5" s="33" t="str">
        <x:v>変更担当</x:v>
      </x:c>
      <x:c r="F5" s="33" t="str">
        <x:v>教材演習担当</x:v>
      </x:c>
    </x:row>
    <x:row r="6">
      <x:c r="A6" s="24" t="str">
        <x:v>E003</x:v>
      </x:c>
      <x:c r="B6" s="24" t="str">
        <x:v>高橋健</x:v>
      </x:c>
      <x:c r="C6" s="24" t="str">
        <x:v>技術部</x:v>
      </x:c>
      <x:c r="E6" s="33" t="str">
        <x:v>重複・空欄</x:v>
      </x:c>
      <x:c r="F6" s="33" t="str">
        <x:v>なし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9e27a4edf3914b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案件マスタ</x:v>
      </x:c>
      <x:c r="B1" s="6"/>
      <x:c r="C1" s="6"/>
    </x:row>
    <x:row r="2" ht="32" customHeight="1">
      <x:c r="A2" s="6"/>
      <x:c r="B2" s="6"/>
      <x:c r="C2" s="6"/>
    </x:row>
    <x:row r="3">
      <x:c r="A3" s="16" t="str">
        <x:v>案件コード</x:v>
      </x:c>
      <x:c r="B3" s="16" t="str">
        <x:v>案件名</x:v>
      </x:c>
      <x:c r="C3" s="16" t="str">
        <x:v>担当部署</x:v>
      </x:c>
      <x:c r="E3" s="16" t="str">
        <x:v>管理項目</x:v>
      </x:c>
      <x:c r="F3" s="16" t="str">
        <x:v>内容</x:v>
      </x:c>
    </x:row>
    <x:row r="4">
      <x:c r="A4" s="24" t="str">
        <x:v>P001</x:v>
      </x:c>
      <x:c r="B4" s="24" t="str">
        <x:v>A案件</x:v>
      </x:c>
      <x:c r="C4" s="24" t="str">
        <x:v>技術部</x:v>
      </x:c>
      <x:c r="E4" s="33" t="str">
        <x:v>件数</x:v>
      </x:c>
      <x:c r="F4" s="33" t="n">
        <x:v>3</x:v>
      </x:c>
    </x:row>
    <x:row r="5">
      <x:c r="A5" s="24" t="str">
        <x:v>P002</x:v>
      </x:c>
      <x:c r="B5" s="24" t="str">
        <x:v>B案件</x:v>
      </x:c>
      <x:c r="C5" s="24" t="str">
        <x:v>営業部</x:v>
      </x:c>
      <x:c r="E5" s="33" t="str">
        <x:v>変更担当</x:v>
      </x:c>
      <x:c r="F5" s="33" t="str">
        <x:v>教材演習担当</x:v>
      </x:c>
    </x:row>
    <x:row r="6">
      <x:c r="A6" s="24" t="str">
        <x:v>P003</x:v>
      </x:c>
      <x:c r="B6" s="24" t="str">
        <x:v>C案件</x:v>
      </x:c>
      <x:c r="C6" s="24" t="str">
        <x:v>技術部</x:v>
      </x:c>
      <x:c r="E6" s="33" t="str">
        <x:v>重複・空欄</x:v>
      </x:c>
      <x:c r="F6" s="33" t="str">
        <x:v>なし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ad834557e1a145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" hidden="0" customWidth="1"/>
    <x:col min="5" max="5" width="18" hidden="0" customWidth="1"/>
    <x:col min="6" max="6" width="22" hidden="0" customWidth="1"/>
  </x:cols>
  <x:sheetData>
    <x:row r="1" ht="32" customHeight="1">
      <x:c r="A1" s="6" t="str">
        <x:v>作業区分マスタ</x:v>
      </x:c>
      <x:c r="B1" s="6"/>
      <x:c r="C1" s="6"/>
    </x:row>
    <x:row r="2" ht="32" customHeight="1">
      <x:c r="A2" s="6"/>
      <x:c r="B2" s="6"/>
      <x:c r="C2" s="6"/>
    </x:row>
    <x:row r="3">
      <x:c r="A3" s="16" t="str">
        <x:v>作業区分コード</x:v>
      </x:c>
      <x:c r="B3" s="16" t="str">
        <x:v>作業区分名</x:v>
      </x:c>
      <x:c r="C3" s="16" t="str">
        <x:v>作業分類</x:v>
      </x:c>
      <x:c r="E3" s="16" t="str">
        <x:v>管理項目</x:v>
      </x:c>
      <x:c r="F3" s="16" t="str">
        <x:v>内容</x:v>
      </x:c>
    </x:row>
    <x:row r="4">
      <x:c r="A4" s="24" t="str">
        <x:v>W001</x:v>
      </x:c>
      <x:c r="B4" s="24" t="str">
        <x:v>資料作成</x:v>
      </x:c>
      <x:c r="C4" s="24" t="str">
        <x:v>制作</x:v>
      </x:c>
      <x:c r="E4" s="33" t="str">
        <x:v>件数</x:v>
      </x:c>
      <x:c r="F4" s="33" t="n">
        <x:v>3</x:v>
      </x:c>
    </x:row>
    <x:row r="5">
      <x:c r="A5" s="24" t="str">
        <x:v>W002</x:v>
      </x:c>
      <x:c r="B5" s="24" t="str">
        <x:v>確認</x:v>
      </x:c>
      <x:c r="C5" s="24" t="str">
        <x:v>品質管理</x:v>
      </x:c>
      <x:c r="E5" s="33" t="str">
        <x:v>変更担当</x:v>
      </x:c>
      <x:c r="F5" s="33" t="str">
        <x:v>教材演習担当</x:v>
      </x:c>
    </x:row>
    <x:row r="6">
      <x:c r="A6" s="24" t="str">
        <x:v>W003</x:v>
      </x:c>
      <x:c r="B6" s="24" t="str">
        <x:v>打合せ</x:v>
      </x:c>
      <x:c r="C6" s="24" t="str">
        <x:v>調整</x:v>
      </x:c>
      <x:c r="E6" s="33" t="str">
        <x:v>重複・空欄</x:v>
      </x:c>
      <x:c r="F6" s="33" t="str">
        <x:v>なし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ac78eb3e6dd940b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32" customHeight="1">
      <x:c r="A1" s="6" t="str">
        <x:v>標準集計値　数式結果と期待値を確認します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16" t="str">
        <x:v>担当者コード</x:v>
      </x:c>
      <x:c r="B3" s="16" t="str">
        <x:v>作業時間合計</x:v>
      </x:c>
      <x:c r="C3" s="16" t="str">
        <x:v>期待値</x:v>
      </x:c>
      <x:c r="D3" s="16" t="str">
        <x:v>案件コード</x:v>
      </x:c>
      <x:c r="E3" s="16" t="str">
        <x:v>作業時間合計</x:v>
      </x:c>
      <x:c r="F3" s="16" t="str">
        <x:v>期待値</x:v>
      </x:c>
      <x:c r="G3" s="16" t="str">
        <x:v>ステータス</x:v>
      </x:c>
      <x:c r="H3" s="16" t="str">
        <x:v>件数</x:v>
      </x:c>
      <x:c r="I3" s="16" t="str">
        <x:v>期待値</x:v>
      </x:c>
    </x:row>
    <x:row r="4">
      <x:c r="A4" s="24" t="str">
        <x:v>E001</x:v>
      </x:c>
      <x:c r="B4" s="54" t="e">
        <x:f>SUMIFS(実績テーブル[作業時間],実績テーブル[担当者コード],A4)</x:f>
      </x:c>
      <x:c r="C4" s="52" t="n">
        <x:v>3.5</x:v>
      </x:c>
      <x:c r="D4" s="24" t="str">
        <x:v>P001</x:v>
      </x:c>
      <x:c r="E4" s="54" t="e">
        <x:f>SUMIFS(実績テーブル[作業時間],実績テーブル[案件コード],D4)</x:f>
      </x:c>
      <x:c r="F4" s="52" t="n">
        <x:v>5.5</x:v>
      </x:c>
      <x:c r="G4" s="24" t="str">
        <x:v>未着手</x:v>
      </x:c>
      <x:c r="H4" s="44" t="e">
        <x:f>COUNTIFS(実績テーブル[ステータス],G4)</x:f>
      </x:c>
      <x:c r="I4" s="52" t="n">
        <x:v>0</x:v>
      </x:c>
    </x:row>
    <x:row r="5">
      <x:c r="A5" s="24" t="str">
        <x:v>E002</x:v>
      </x:c>
      <x:c r="B5" s="54" t="e">
        <x:f>SUMIFS(実績テーブル[作業時間],実績テーブル[担当者コード],A5)</x:f>
      </x:c>
      <x:c r="C5" s="52" t="n">
        <x:v>5</x:v>
      </x:c>
      <x:c r="D5" s="24" t="str">
        <x:v>P002</x:v>
      </x:c>
      <x:c r="E5" s="54" t="e">
        <x:f>SUMIFS(実績テーブル[作業時間],実績テーブル[案件コード],D5)</x:f>
      </x:c>
      <x:c r="F5" s="52" t="n">
        <x:v>3</x:v>
      </x:c>
      <x:c r="G5" s="24" t="str">
        <x:v>進行中</x:v>
      </x:c>
      <x:c r="H5" s="44" t="e">
        <x:f>COUNTIFS(実績テーブル[ステータス],G5)</x:f>
      </x:c>
      <x:c r="I5" s="52" t="n">
        <x:v>2</x:v>
      </x:c>
    </x:row>
    <x:row r="6">
      <x:c r="A6" s="24" t="str">
        <x:v>E003</x:v>
      </x:c>
      <x:c r="B6" s="54" t="e">
        <x:f>SUMIFS(実績テーブル[作業時間],実績テーブル[担当者コード],A6)</x:f>
      </x:c>
      <x:c r="C6" s="52" t="n">
        <x:v>3</x:v>
      </x:c>
      <x:c r="D6" s="24" t="str">
        <x:v>P003</x:v>
      </x:c>
      <x:c r="E6" s="54" t="e">
        <x:f>SUMIFS(実績テーブル[作業時間],実績テーブル[案件コード],D6)</x:f>
      </x:c>
      <x:c r="F6" s="52" t="n">
        <x:v>3</x:v>
      </x:c>
      <x:c r="G6" s="24" t="str">
        <x:v>完了</x:v>
      </x:c>
      <x:c r="H6" s="44" t="e">
        <x:f>COUNTIFS(実績テーブル[ステータス],G6)</x:f>
      </x:c>
      <x:c r="I6" s="52" t="n">
        <x:v>6</x:v>
      </x:c>
    </x:row>
    <x:row r="8">
      <x:c r="A8" s="58" t="str">
        <x:v>手計算確認：E001＝2.0＋1.0＋0.5＝3.5</x:v>
      </x:c>
      <x:c r="B8" s="58"/>
      <x:c r="C8" s="58"/>
      <x:c r="D8" s="58"/>
      <x:c r="E8" s="58"/>
      <x:c r="F8" s="58"/>
      <x:c r="G8" s="58"/>
      <x:c r="H8" s="58"/>
      <x:c r="I8" s="58"/>
    </x:row>
  </x:sheetData>
  <x:mergeCells>
    <x:mergeCell ref="A1:I2"/>
    <x:mergeCell ref="A8:I8"/>
  </x:mergeCells>
  <x:pageMargins left="0.7" right="0.7" top="0.75" bottom="0.75" header="0.3" footer="0.3"/>
</x:worksheet>
</file>