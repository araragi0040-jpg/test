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f507895e4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最初に読む" sheetId="1" r:id="Rd544336e9f9448bd"/>
    <x:sheet xmlns:r="http://schemas.openxmlformats.org/officeDocument/2006/relationships" name="01_元データ比較" sheetId="2" r:id="R3a62189624c44774"/>
    <x:sheet xmlns:r="http://schemas.openxmlformats.org/officeDocument/2006/relationships" name="02_列対応表" sheetId="3" r:id="R5238117d95f74ba1"/>
    <x:sheet xmlns:r="http://schemas.openxmlformats.org/officeDocument/2006/relationships" name="03_共通フォーマット" sheetId="4" r:id="R8dfd06171f5a4275"/>
    <x:sheet xmlns:r="http://schemas.openxmlformats.org/officeDocument/2006/relationships" name="04_項目定義・入力ルール" sheetId="5" r:id="R6c8e323501314f76"/>
    <x:sheet xmlns:r="http://schemas.openxmlformats.org/officeDocument/2006/relationships" name="05_入力テスト" sheetId="6" r:id="R75e8269c35304f63"/>
    <x:sheet xmlns:r="http://schemas.openxmlformats.org/officeDocument/2006/relationships" name="06_検証" sheetId="7" r:id="R7bfc101207b94935"/>
    <x:sheet xmlns:r="http://schemas.openxmlformats.org/officeDocument/2006/relationships" name="07_提出確認" sheetId="8" r:id="Rabe720fd8cb748b7"/>
    <x:sheet xmlns:r="http://schemas.openxmlformats.org/officeDocument/2006/relationships" name="99_選択肢" sheetId="9" r:id="Rb4e9ac1ded144e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/mm/dd"/>
    <x:numFmt numFmtId="201" formatCode="#,##0"/>
    <x:numFmt numFmtId="202" formatCode="yyyy-mm"/>
    <x:numFmt numFmtId="203" formatCode="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1E2A36"/>
      <x:name val="Carlito"/>
    </x:font>
    <x:font>
      <x:b/>
      <x:sz val="11"/>
      <x:color rgb="FF1E2A3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315E7D"/>
      </x:patternFill>
    </x:fill>
    <x:fill>
      <x:patternFill patternType="solid">
        <x:fgColor rgb="FF3E7293"/>
      </x:patternFill>
    </x:fill>
    <x:fill>
      <x:patternFill patternType="solid">
        <x:fgColor rgb="FFFFF3CD"/>
      </x:patternFill>
    </x:fill>
    <x:fill>
      <x:patternFill patternType="solid">
        <x:fgColor rgb="FFDCEAF3"/>
      </x:patternFill>
    </x:fill>
    <x:fill>
      <x:patternFill patternType="solid">
        <x:fgColor rgb="FFEEF2F5"/>
      </x:patternFill>
    </x:fill>
    <x:fill>
      <x:patternFill patternType="solid">
        <x:fgColor rgb="FFE8F3EE"/>
      </x:patternFill>
    </x:fill>
    <x:fill>
      <x:patternFill patternType="solid">
        <x:fgColor rgb="FFE8F5E9"/>
      </x:patternFill>
    </x:fill>
    <x:fill>
      <x:patternFill patternType="solid">
        <x:fgColor rgb="FFF3EAF8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  <x:xf numFmtId="200" fontId="3" fillId="6" borderId="0" xfId="0" applyNumberFormat="1" applyFont="1" applyFill="1" applyBorder="1" applyAlignment="1">
      <x:alignment vertical="top" wrapText="1"/>
    </x:xf>
    <x:xf numFmtId="200" fontId="3" fillId="6" borderId="1" xfId="0" applyNumberFormat="1" applyFont="1" applyFill="1" applyBorder="1" applyAlignment="1">
      <x:alignment vertical="top" wrapText="1"/>
    </x:xf>
    <x:xf numFmtId="201" fontId="3" fillId="6" borderId="0" xfId="0" applyNumberFormat="1" applyFont="1" applyFill="1" applyBorder="1" applyAlignment="1">
      <x:alignment vertical="top" wrapText="1"/>
    </x:xf>
    <x:xf numFmtId="201" fontId="3" fillId="6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202" fontId="3" fillId="6" borderId="0" xfId="0" applyNumberFormat="1" applyFont="1" applyFill="1" applyBorder="1" applyAlignment="1">
      <x:alignment vertical="top" wrapText="1"/>
    </x:xf>
    <x:xf numFmtId="202" fontId="3" fillId="6" borderId="1" xfId="0" applyNumberFormat="1" applyFont="1" applyFill="1" applyBorder="1" applyAlignment="1">
      <x:alignment vertical="top" wrapText="1"/>
    </x:xf>
    <x:xf numFmtId="203" fontId="3" fillId="6" borderId="0" xfId="0" applyNumberFormat="1" applyFont="1" applyFill="1" applyBorder="1" applyAlignment="1">
      <x:alignment vertical="top" wrapText="1"/>
    </x:xf>
    <x:xf numFmtId="203" fontId="3" fillId="6" borderId="1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203" fontId="3" fillId="4" borderId="0" xfId="0" applyNumberFormat="1" applyFont="1" applyFill="1" applyBorder="1" applyAlignment="1">
      <x:alignment vertical="top" wrapText="1"/>
    </x:xf>
    <x:xf numFmtId="203" fontId="3" fillId="4" borderId="1" xfId="0" applyNumberFormat="1" applyFont="1" applyFill="1" applyBorder="1" applyAlignment="1">
      <x:alignment vertical="top" wrapText="1"/>
    </x:xf>
    <x:xf numFmtId="201" fontId="3" fillId="7" borderId="0" xfId="0" applyNumberFormat="1" applyFont="1" applyFill="1" applyBorder="1" applyAlignment="1">
      <x:alignment vertical="top" wrapText="1"/>
    </x:xf>
    <x:xf numFmtId="201" fontId="3" fillId="7" borderId="1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1" xfId="0" applyNumberFormat="1" applyFont="1" applyFill="1" applyBorder="1" applyAlignment="1">
      <x:alignment vertical="top" wrapText="1"/>
    </x:xf>
    <x:xf numFmtId="201" fontId="3" fillId="8" borderId="0" xfId="0" applyNumberFormat="1" applyFont="1" applyFill="1" applyBorder="1" applyAlignment="1">
      <x:alignment vertical="top" wrapText="1"/>
    </x:xf>
    <x:xf numFmtId="201" fontId="3" fillId="8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a546871fb6416d" /><Relationship Type="http://schemas.openxmlformats.org/officeDocument/2006/relationships/theme" Target="/xl/theme/theme1.xml" Id="R53f107e4366341a6" /><Relationship Type="http://schemas.openxmlformats.org/officeDocument/2006/relationships/sharedStrings" Target="/xl/sharedStrings.xml" Id="R76d7c52646da41a7" /><Relationship Type="http://schemas.openxmlformats.org/officeDocument/2006/relationships/worksheet" Target="/xl/worksheets/sheet1.xml" Id="Rd544336e9f9448bd" /><Relationship Type="http://schemas.openxmlformats.org/officeDocument/2006/relationships/worksheet" Target="/xl/worksheets/sheet2.xml" Id="R3a62189624c44774" /><Relationship Type="http://schemas.openxmlformats.org/officeDocument/2006/relationships/worksheet" Target="/xl/worksheets/sheet3.xml" Id="R5238117d95f74ba1" /><Relationship Type="http://schemas.openxmlformats.org/officeDocument/2006/relationships/worksheet" Target="/xl/worksheets/sheet4.xml" Id="R8dfd06171f5a4275" /><Relationship Type="http://schemas.openxmlformats.org/officeDocument/2006/relationships/worksheet" Target="/xl/worksheets/sheet5.xml" Id="R6c8e323501314f76" /><Relationship Type="http://schemas.openxmlformats.org/officeDocument/2006/relationships/worksheet" Target="/xl/worksheets/sheet6.xml" Id="R75e8269c35304f63" /><Relationship Type="http://schemas.openxmlformats.org/officeDocument/2006/relationships/worksheet" Target="/xl/worksheets/sheet7.xml" Id="R7bfc101207b94935" /><Relationship Type="http://schemas.openxmlformats.org/officeDocument/2006/relationships/worksheet" Target="/xl/worksheets/sheet8.xml" Id="Rabe720fd8cb748b7" /><Relationship Type="http://schemas.openxmlformats.org/officeDocument/2006/relationships/worksheet" Target="/xl/worksheets/sheet9.xml" Id="Rb4e9ac1ded144ec1" /></Relationships>
</file>

<file path=xl/tables/table1.xml><?xml version="1.0" encoding="utf-8"?>
<x:table xmlns:x="http://schemas.openxmlformats.org/spreadsheetml/2006/main" id="1" name="月次実績テーブル" displayName="月次実績テーブル" ref="A3:O15" headerRowCount="1">
  <x:tableColumns count="15">
    <x:tableColumn id="1" name="実績ID"/>
    <x:tableColumn id="2" name="実績日"/>
    <x:tableColumn id="3" name="年月"/>
    <x:tableColumn id="4" name="部門"/>
    <x:tableColumn id="5" name="担当者"/>
    <x:tableColumn id="6" name="地域"/>
    <x:tableColumn id="7" name="顧客区分"/>
    <x:tableColumn id="8" name="サービスカテゴリ"/>
    <x:tableColumn id="9" name="サービス名"/>
    <x:tableColumn id="10" name="数量"/>
    <x:tableColumn id="11" name="単価"/>
    <x:tableColumn id="12" name="売上金額"/>
    <x:tableColumn id="13" name="ステータス"/>
    <x:tableColumn id="14" name="受注経路"/>
    <x:tableColumn id="15" name="備考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41741be796434718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34" hidden="0" customWidth="1"/>
    <x:col min="4" max="4" width="18" hidden="0" customWidth="1"/>
    <x:col min="5" max="5" width="32" hidden="0" customWidth="1"/>
    <x:col min="6" max="6" width="13" hidden="0" customWidth="1"/>
  </x:cols>
  <x:sheetData>
    <x:row r="1" ht="34" customHeight="1">
      <x:c r="A1" s="6" t="str">
        <x:v>中級・第二章　共通フォーマットと入力ルール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順番</x:v>
      </x:c>
      <x:c r="B4" s="16" t="str">
        <x:v>シート</x:v>
      </x:c>
      <x:c r="C4" s="16" t="str">
        <x:v>行うこと</x:v>
      </x:c>
      <x:c r="D4" s="16" t="str">
        <x:v>入力する量</x:v>
      </x:c>
      <x:c r="E4" s="16" t="str">
        <x:v>困った場合</x:v>
      </x:c>
      <x:c r="F4" s="16" t="str">
        <x:v>確認</x:v>
      </x:c>
    </x:row>
    <x:row r="5">
      <x:c r="A5" s="24" t="n">
        <x:v>1</x:v>
      </x:c>
      <x:c r="B5" s="24" t="str">
        <x:v>01_元データ比較</x:v>
      </x:c>
      <x:c r="C5" s="24" t="str">
        <x:v>3部門の違いを確認</x:v>
      </x:c>
      <x:c r="D5" s="24" t="str">
        <x:v>入力なし</x:v>
      </x:c>
      <x:c r="E5" s="24" t="str">
        <x:v>列名と表記を見る</x:v>
      </x:c>
      <x:c r="F5" s="24" t="str">
        <x:v>未確認</x:v>
      </x:c>
    </x:row>
    <x:row r="6">
      <x:c r="A6" s="24" t="n">
        <x:v>2</x:v>
      </x:c>
      <x:c r="B6" s="24" t="str">
        <x:v>02_列対応表</x:v>
      </x:c>
      <x:c r="C6" s="24" t="str">
        <x:v>重要5項目を選択</x:v>
      </x:c>
      <x:c r="D6" s="24" t="str">
        <x:v>5セル</x:v>
      </x:c>
      <x:c r="E6" s="24" t="str">
        <x:v>共通列の意味へ戻る</x:v>
      </x:c>
      <x:c r="F6" s="24" t="str">
        <x:v>未確認</x:v>
      </x:c>
    </x:row>
    <x:row r="7">
      <x:c r="A7" s="24" t="n">
        <x:v>3</x:v>
      </x:c>
      <x:c r="B7" s="24" t="str">
        <x:v>03_共通フォーマット</x:v>
      </x:c>
      <x:c r="C7" s="24" t="str">
        <x:v>2件の表記を修正</x:v>
      </x:c>
      <x:c r="D7" s="24" t="str">
        <x:v>2セル</x:v>
      </x:c>
      <x:c r="E7" s="24" t="str">
        <x:v>R0004・R0006を確認</x:v>
      </x:c>
      <x:c r="F7" s="24" t="str">
        <x:v>未確認</x:v>
      </x:c>
    </x:row>
    <x:row r="8">
      <x:c r="A8" s="24" t="n">
        <x:v>4</x:v>
      </x:c>
      <x:c r="B8" s="24" t="str">
        <x:v>04_項目定義・入力ルール</x:v>
      </x:c>
      <x:c r="C8" s="24" t="str">
        <x:v>更新・例外ルールを記入</x:v>
      </x:c>
      <x:c r="D8" s="24" t="str">
        <x:v>3項目</x:v>
      </x:c>
      <x:c r="E8" s="24" t="str">
        <x:v>入力例を参考にする</x:v>
      </x:c>
      <x:c r="F8" s="24" t="str">
        <x:v>未確認</x:v>
      </x:c>
    </x:row>
    <x:row r="9">
      <x:c r="A9" s="24" t="n">
        <x:v>5</x:v>
      </x:c>
      <x:c r="B9" s="24" t="str">
        <x:v>05_入力テスト</x:v>
      </x:c>
      <x:c r="C9" s="24" t="str">
        <x:v>R0013の指定セルを入力</x:v>
      </x:c>
      <x:c r="D9" s="24" t="str">
        <x:v>5セル</x:v>
      </x:c>
      <x:c r="E9" s="24" t="str">
        <x:v>黄色セルだけ入力</x:v>
      </x:c>
      <x:c r="F9" s="24" t="str">
        <x:v>未確認</x:v>
      </x:c>
    </x:row>
    <x:row r="10">
      <x:c r="A10" s="24" t="n">
        <x:v>6</x:v>
      </x:c>
      <x:c r="B10" s="24" t="str">
        <x:v>06_検証</x:v>
      </x:c>
      <x:c r="C10" s="24" t="str">
        <x:v>期待値との一致を確認</x:v>
      </x:c>
      <x:c r="D10" s="24" t="str">
        <x:v>確認中心</x:v>
      </x:c>
      <x:c r="E10" s="24" t="str">
        <x:v>要確認の項目だけ戻る</x:v>
      </x:c>
      <x:c r="F10" s="24" t="str">
        <x:v>未確認</x:v>
      </x:c>
    </x:row>
    <x:row r="11">
      <x:c r="A11" s="24" t="n">
        <x:v>7</x:v>
      </x:c>
      <x:c r="B11" s="24" t="str">
        <x:v>07_提出確認</x:v>
      </x:c>
      <x:c r="C11" s="24" t="str">
        <x:v>理解確認と完成判定</x:v>
      </x:c>
      <x:c r="D11" s="24" t="str">
        <x:v>5問＋記録</x:v>
      </x:c>
      <x:c r="E11" s="24" t="str">
        <x:v>長文にしない</x:v>
      </x:c>
      <x:c r="F11" s="24" t="str">
        <x:v>未確認</x:v>
      </x:c>
    </x:row>
    <x:row r="13">
      <x:c r="A13" s="16" t="str">
        <x:v>基本情報</x:v>
      </x:c>
      <x:c r="B13" s="16" t="str">
        <x:v>入力</x:v>
      </x:c>
    </x:row>
    <x:row r="14">
      <x:c r="A14" s="24" t="str">
        <x:v>使用環境</x:v>
      </x:c>
      <x:c r="B14" s="28" t="str"/>
    </x:row>
    <x:row r="15">
      <x:c r="A15" s="24" t="str">
        <x:v>ファイル名</x:v>
      </x:c>
      <x:c r="B15" s="28" t="str"/>
    </x:row>
    <x:row r="16">
      <x:c r="A16" s="24" t="str">
        <x:v>保存先</x:v>
      </x:c>
      <x:c r="B16" s="28" t="str"/>
    </x:row>
    <x:row r="17">
      <x:c r="A17" s="24" t="str">
        <x:v>問い合わせ先</x:v>
      </x:c>
      <x:c r="B17" s="24" t="str">
        <x:v>教材演習担当</x:v>
      </x:c>
    </x:row>
    <x:row r="19">
      <x:c r="A19" s="32" t="str">
        <x:v>注意：黄色のセルだけを入力・修正します。Power BIの導入や、実在データの使用は不要です。</x:v>
      </x:c>
      <x:c r="B19" s="32"/>
      <x:c r="C19" s="32"/>
      <x:c r="D19" s="32"/>
      <x:c r="E19" s="32"/>
      <x:c r="F19" s="32"/>
    </x:row>
  </x:sheetData>
  <x:mergeCells>
    <x:mergeCell ref="A1:F2"/>
    <x:mergeCell ref="A19:F19"/>
  </x:mergeCells>
  <x:dataValidations count="2">
    <x:dataValidation type="list" sqref="F5:F11">
      <x:formula1>"未確認,OK,要確認"</x:formula1>
    </x:dataValidation>
    <x:dataValidation type="list" sqref="B14">
      <x:formula1>"パソコン版,Web版"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16" hidden="0" customWidth="1"/>
    <x:col min="5" max="5" width="20" hidden="0" customWidth="1"/>
    <x:col min="6" max="6" width="20" hidden="0" customWidth="1"/>
    <x:col min="7" max="7" width="12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</x:cols>
  <x:sheetData>
    <x:row r="1" ht="34" customHeight="1">
      <x:c r="A1" s="6" t="str">
        <x:v>元データ比較　3部門の列名・表記の違い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3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38" t="str">
        <x:v>営業1課ファイル</x:v>
      </x:c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</x:row>
    <x:row r="5">
      <x:c r="A5" s="16" t="str">
        <x:v>日付</x:v>
      </x:c>
      <x:c r="B5" s="16" t="str">
        <x:v>担当</x:v>
      </x:c>
      <x:c r="C5" s="16" t="str">
        <x:v>エリア</x:v>
      </x:c>
      <x:c r="D5" s="16" t="str">
        <x:v>顧客種別</x:v>
      </x:c>
      <x:c r="E5" s="16" t="str">
        <x:v>サービス分類</x:v>
      </x:c>
      <x:c r="F5" s="16" t="str">
        <x:v>サービス</x:v>
      </x:c>
      <x:c r="G5" s="16" t="str">
        <x:v>件数</x:v>
      </x:c>
      <x:c r="H5" s="16" t="str">
        <x:v>単価</x:v>
      </x:c>
      <x:c r="I5" s="16" t="str">
        <x:v>売上額</x:v>
      </x:c>
      <x:c r="J5" s="16" t="str">
        <x:v>状態</x:v>
      </x:c>
      <x:c r="K5" s="16" t="str">
        <x:v>経路</x:v>
      </x:c>
      <x:c r="L5" s="16" t="str">
        <x:v>メモ</x:v>
      </x:c>
    </x:row>
    <x:row r="6">
      <x:c r="A6" s="50" t="n">
        <x:v>46143</x:v>
      </x:c>
      <x:c r="B6" s="45" t="str">
        <x:v>佐藤太郎</x:v>
      </x:c>
      <x:c r="C6" s="45" t="str">
        <x:v>関西</x:v>
      </x:c>
      <x:c r="D6" s="45" t="str">
        <x:v>新規</x:v>
      </x:c>
      <x:c r="E6" s="45" t="str">
        <x:v>保守</x:v>
      </x:c>
      <x:c r="F6" s="45" t="str">
        <x:v>保守A</x:v>
      </x:c>
      <x:c r="G6" s="52" t="n">
        <x:v>1</x:v>
      </x:c>
      <x:c r="H6" s="52" t="n">
        <x:v>120000</x:v>
      </x:c>
      <x:c r="I6" s="52" t="n">
        <x:v>120000</x:v>
      </x:c>
      <x:c r="J6" s="45" t="str">
        <x:v>完了</x:v>
      </x:c>
      <x:c r="K6" s="45" t="str">
        <x:v>Web</x:v>
      </x:c>
      <x:c r="L6" s="45" t="str"/>
    </x:row>
    <x:row r="7">
      <x:c r="A7" s="50" t="n">
        <x:v>46144</x:v>
      </x:c>
      <x:c r="B7" s="45" t="str">
        <x:v>佐藤太郎</x:v>
      </x:c>
      <x:c r="C7" s="45" t="str">
        <x:v>関西</x:v>
      </x:c>
      <x:c r="D7" s="45" t="str">
        <x:v>既存</x:v>
      </x:c>
      <x:c r="E7" s="45" t="str">
        <x:v>導入</x:v>
      </x:c>
      <x:c r="F7" s="45" t="str">
        <x:v>導入B</x:v>
      </x:c>
      <x:c r="G7" s="52" t="n">
        <x:v>2</x:v>
      </x:c>
      <x:c r="H7" s="52" t="n">
        <x:v>80000</x:v>
      </x:c>
      <x:c r="I7" s="52" t="n">
        <x:v>160000</x:v>
      </x:c>
      <x:c r="J7" s="45" t="str">
        <x:v>進行中</x:v>
      </x:c>
      <x:c r="K7" s="45" t="str">
        <x:v>紹介</x:v>
      </x:c>
      <x:c r="L7" s="45" t="str"/>
    </x:row>
    <x:row r="8">
      <x:c r="A8" s="50" t="n">
        <x:v>46145</x:v>
      </x:c>
      <x:c r="B8" s="45" t="str">
        <x:v>山本直子</x:v>
      </x:c>
      <x:c r="C8" s="45" t="str">
        <x:v>中部</x:v>
      </x:c>
      <x:c r="D8" s="45" t="str">
        <x:v>新規</x:v>
      </x:c>
      <x:c r="E8" s="45" t="str">
        <x:v>研修</x:v>
      </x:c>
      <x:c r="F8" s="45" t="str">
        <x:v>研修C</x:v>
      </x:c>
      <x:c r="G8" s="52" t="n">
        <x:v>3</x:v>
      </x:c>
      <x:c r="H8" s="52" t="n">
        <x:v>50000</x:v>
      </x:c>
      <x:c r="I8" s="52" t="n">
        <x:v>150000</x:v>
      </x:c>
      <x:c r="J8" s="45" t="str">
        <x:v>完了</x:v>
      </x:c>
      <x:c r="K8" s="45" t="str">
        <x:v>電話</x:v>
      </x:c>
      <x:c r="L8" s="45" t="str"/>
    </x:row>
    <x:row r="9">
      <x:c r="A9" s="50" t="n">
        <x:v>46146</x:v>
      </x:c>
      <x:c r="B9" s="45" t="str">
        <x:v>山本直子</x:v>
      </x:c>
      <x:c r="C9" s="45" t="str">
        <x:v>関東</x:v>
      </x:c>
      <x:c r="D9" s="45" t="str">
        <x:v>既存</x:v>
      </x:c>
      <x:c r="E9" s="45" t="str">
        <x:v>保守</x:v>
      </x:c>
      <x:c r="F9" s="45" t="str">
        <x:v>保守A</x:v>
      </x:c>
      <x:c r="G9" s="52" t="n">
        <x:v>1</x:v>
      </x:c>
      <x:c r="H9" s="52" t="n">
        <x:v>120000</x:v>
      </x:c>
      <x:c r="I9" s="52" t="n">
        <x:v>120000</x:v>
      </x:c>
      <x:c r="J9" s="45" t="str">
        <x:v>受注済</x:v>
      </x:c>
      <x:c r="K9" s="45" t="str">
        <x:v>Web</x:v>
      </x:c>
      <x:c r="L9" s="45" t="str">
        <x:v>表記確認</x:v>
      </x:c>
    </x:row>
    <x:row r="12">
      <x:c r="A12" s="38" t="str">
        <x:v>営業2課ファイル</x:v>
      </x:c>
      <x:c r="B12" s="38"/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</x:row>
    <x:row r="13">
      <x:c r="A13" s="16" t="str">
        <x:v>実績日</x:v>
      </x:c>
      <x:c r="B13" s="16" t="str">
        <x:v>担当者</x:v>
      </x:c>
      <x:c r="C13" s="16" t="str">
        <x:v>地域</x:v>
      </x:c>
      <x:c r="D13" s="16" t="str">
        <x:v>顧客区分</x:v>
      </x:c>
      <x:c r="E13" s="16" t="str">
        <x:v>サービスカテゴリ</x:v>
      </x:c>
      <x:c r="F13" s="16" t="str">
        <x:v>サービス名</x:v>
      </x:c>
      <x:c r="G13" s="16" t="str">
        <x:v>数量</x:v>
      </x:c>
      <x:c r="H13" s="16" t="str">
        <x:v>単価</x:v>
      </x:c>
      <x:c r="I13" s="16" t="str">
        <x:v>売上金額</x:v>
      </x:c>
      <x:c r="J13" s="16" t="str">
        <x:v>ステータス</x:v>
      </x:c>
      <x:c r="K13" s="16" t="str">
        <x:v>受注経路</x:v>
      </x:c>
      <x:c r="L13" s="16" t="str">
        <x:v>備考</x:v>
      </x:c>
    </x:row>
    <x:row r="14">
      <x:c r="A14" s="50" t="n">
        <x:v>46143</x:v>
      </x:c>
      <x:c r="B14" s="45" t="str">
        <x:v>鈴木花子</x:v>
      </x:c>
      <x:c r="C14" s="45" t="str">
        <x:v>関東</x:v>
      </x:c>
      <x:c r="D14" s="45" t="str">
        <x:v>新規</x:v>
      </x:c>
      <x:c r="E14" s="45" t="str">
        <x:v>導入</x:v>
      </x:c>
      <x:c r="F14" s="45" t="str">
        <x:v>導入B</x:v>
      </x:c>
      <x:c r="G14" s="52" t="n">
        <x:v>1</x:v>
      </x:c>
      <x:c r="H14" s="52" t="n">
        <x:v>80000</x:v>
      </x:c>
      <x:c r="I14" s="52" t="n">
        <x:v>80000</x:v>
      </x:c>
      <x:c r="J14" s="45" t="str">
        <x:v>完了</x:v>
      </x:c>
      <x:c r="K14" s="45" t="str">
        <x:v>紹介</x:v>
      </x:c>
      <x:c r="L14" s="45" t="str"/>
    </x:row>
    <x:row r="15">
      <x:c r="A15" s="50" t="n">
        <x:v>46144</x:v>
      </x:c>
      <x:c r="B15" s="45" t="str">
        <x:v>鈴木花子</x:v>
      </x:c>
      <x:c r="C15" s="45" t="str">
        <x:v>関東</x:v>
      </x:c>
      <x:c r="D15" s="45" t="str">
        <x:v>既存</x:v>
      </x:c>
      <x:c r="E15" s="45" t="str">
        <x:v>保守</x:v>
      </x:c>
      <x:c r="F15" s="45" t="str">
        <x:v>保守A</x:v>
      </x:c>
      <x:c r="G15" s="52" t="n">
        <x:v>2</x:v>
      </x:c>
      <x:c r="H15" s="52" t="n">
        <x:v>120000</x:v>
      </x:c>
      <x:c r="I15" s="52" t="n">
        <x:v>240000</x:v>
      </x:c>
      <x:c r="J15" s="45" t="str">
        <x:v>済</x:v>
      </x:c>
      <x:c r="K15" s="45" t="str">
        <x:v>Web</x:v>
      </x:c>
      <x:c r="L15" s="45" t="str"/>
    </x:row>
    <x:row r="16">
      <x:c r="A16" s="50" t="n">
        <x:v>46147</x:v>
      </x:c>
      <x:c r="B16" s="45" t="str">
        <x:v>田中一郎</x:v>
      </x:c>
      <x:c r="C16" s="45" t="str">
        <x:v>関西</x:v>
      </x:c>
      <x:c r="D16" s="45" t="str">
        <x:v>新規</x:v>
      </x:c>
      <x:c r="E16" s="45" t="str">
        <x:v>研修</x:v>
      </x:c>
      <x:c r="F16" s="45" t="str">
        <x:v>研修C</x:v>
      </x:c>
      <x:c r="G16" s="52" t="n">
        <x:v>2</x:v>
      </x:c>
      <x:c r="H16" s="52" t="n">
        <x:v>50000</x:v>
      </x:c>
      <x:c r="I16" s="52" t="n">
        <x:v>100000</x:v>
      </x:c>
      <x:c r="J16" s="45" t="str">
        <x:v>進行中</x:v>
      </x:c>
      <x:c r="K16" s="45" t="str">
        <x:v>イベント</x:v>
      </x:c>
      <x:c r="L16" s="45" t="str"/>
    </x:row>
    <x:row r="17">
      <x:c r="A17" s="50" t="n">
        <x:v>46148</x:v>
      </x:c>
      <x:c r="B17" s="45" t="str">
        <x:v>田中一郎</x:v>
      </x:c>
      <x:c r="C17" s="45" t="str">
        <x:v>中部</x:v>
      </x:c>
      <x:c r="D17" s="45" t="str">
        <x:v>既存</x:v>
      </x:c>
      <x:c r="E17" s="45" t="str">
        <x:v>導入</x:v>
      </x:c>
      <x:c r="F17" s="45" t="str">
        <x:v>導入B</x:v>
      </x:c>
      <x:c r="G17" s="52" t="n">
        <x:v>3</x:v>
      </x:c>
      <x:c r="H17" s="52" t="n">
        <x:v>80000</x:v>
      </x:c>
      <x:c r="I17" s="52" t="n">
        <x:v>240000</x:v>
      </x:c>
      <x:c r="J17" s="45" t="str">
        <x:v>完了</x:v>
      </x:c>
      <x:c r="K17" s="45" t="str">
        <x:v>電話</x:v>
      </x:c>
      <x:c r="L17" s="45" t="str"/>
    </x:row>
    <x:row r="20">
      <x:c r="A20" s="38" t="str">
        <x:v>技術部ファイル</x:v>
      </x:c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</x:row>
    <x:row r="21">
      <x:c r="A21" s="16" t="str">
        <x:v>年月日</x:v>
      </x:c>
      <x:c r="B21" s="16" t="str">
        <x:v>担当者名</x:v>
      </x:c>
      <x:c r="C21" s="16" t="str">
        <x:v>地域</x:v>
      </x:c>
      <x:c r="D21" s="16" t="str">
        <x:v>顧客区分</x:v>
      </x:c>
      <x:c r="E21" s="16" t="str">
        <x:v>カテゴリ</x:v>
      </x:c>
      <x:c r="F21" s="16" t="str">
        <x:v>商品・サービス</x:v>
      </x:c>
      <x:c r="G21" s="16" t="str">
        <x:v>数量</x:v>
      </x:c>
      <x:c r="H21" s="16" t="str">
        <x:v>単価</x:v>
      </x:c>
      <x:c r="I21" s="16" t="str">
        <x:v>金額</x:v>
      </x:c>
      <x:c r="J21" s="16" t="str">
        <x:v>進捗</x:v>
      </x:c>
      <x:c r="K21" s="16" t="str">
        <x:v>チャネル</x:v>
      </x:c>
      <x:c r="L21" s="16" t="str">
        <x:v>コメント</x:v>
      </x:c>
    </x:row>
    <x:row r="22">
      <x:c r="A22" s="50" t="n">
        <x:v>46144</x:v>
      </x:c>
      <x:c r="B22" s="45" t="str">
        <x:v>高橋健</x:v>
      </x:c>
      <x:c r="C22" s="45" t="str">
        <x:v>関西</x:v>
      </x:c>
      <x:c r="D22" s="45" t="str">
        <x:v>既存</x:v>
      </x:c>
      <x:c r="E22" s="45" t="str">
        <x:v>保守</x:v>
      </x:c>
      <x:c r="F22" s="45" t="str">
        <x:v>保守A</x:v>
      </x:c>
      <x:c r="G22" s="52" t="n">
        <x:v>1</x:v>
      </x:c>
      <x:c r="H22" s="52" t="n">
        <x:v>120000</x:v>
      </x:c>
      <x:c r="I22" s="52" t="n">
        <x:v>120000</x:v>
      </x:c>
      <x:c r="J22" s="45" t="str">
        <x:v>完了</x:v>
      </x:c>
      <x:c r="K22" s="45" t="str">
        <x:v>紹介</x:v>
      </x:c>
      <x:c r="L22" s="45" t="str"/>
    </x:row>
    <x:row r="23">
      <x:c r="A23" s="50" t="n">
        <x:v>46145</x:v>
      </x:c>
      <x:c r="B23" s="45" t="str">
        <x:v>高橋健</x:v>
      </x:c>
      <x:c r="C23" s="45" t="str">
        <x:v>関東</x:v>
      </x:c>
      <x:c r="D23" s="45" t="str">
        <x:v>新規</x:v>
      </x:c>
      <x:c r="E23" s="45" t="str">
        <x:v>導入</x:v>
      </x:c>
      <x:c r="F23" s="45" t="str">
        <x:v>導入B</x:v>
      </x:c>
      <x:c r="G23" s="52" t="n">
        <x:v>2</x:v>
      </x:c>
      <x:c r="H23" s="52" t="n">
        <x:v>80000</x:v>
      </x:c>
      <x:c r="I23" s="52" t="n">
        <x:v>160000</x:v>
      </x:c>
      <x:c r="J23" s="45" t="str">
        <x:v>進行中</x:v>
      </x:c>
      <x:c r="K23" s="45" t="str">
        <x:v>Web</x:v>
      </x:c>
      <x:c r="L23" s="45" t="str"/>
    </x:row>
    <x:row r="24">
      <x:c r="A24" s="50" t="n">
        <x:v>46149</x:v>
      </x:c>
      <x:c r="B24" s="45" t="str">
        <x:v>伊藤美咲</x:v>
      </x:c>
      <x:c r="C24" s="45" t="str">
        <x:v>中部</x:v>
      </x:c>
      <x:c r="D24" s="45" t="str">
        <x:v>既存</x:v>
      </x:c>
      <x:c r="E24" s="45" t="str">
        <x:v>研修</x:v>
      </x:c>
      <x:c r="F24" s="45" t="str">
        <x:v>研修C</x:v>
      </x:c>
      <x:c r="G24" s="52" t="n">
        <x:v>1</x:v>
      </x:c>
      <x:c r="H24" s="52" t="n">
        <x:v>50000</x:v>
      </x:c>
      <x:c r="I24" s="52" t="n">
        <x:v>50000</x:v>
      </x:c>
      <x:c r="J24" s="45" t="str">
        <x:v>完了</x:v>
      </x:c>
      <x:c r="K24" s="45" t="str">
        <x:v>イベント</x:v>
      </x:c>
      <x:c r="L24" s="45" t="str"/>
    </x:row>
    <x:row r="25">
      <x:c r="A25" s="50" t="n">
        <x:v>46150</x:v>
      </x:c>
      <x:c r="B25" s="45" t="str">
        <x:v>伊藤美咲</x:v>
      </x:c>
      <x:c r="C25" s="45" t="str">
        <x:v>関西</x:v>
      </x:c>
      <x:c r="D25" s="45" t="str">
        <x:v>新規</x:v>
      </x:c>
      <x:c r="E25" s="45" t="str">
        <x:v>保守</x:v>
      </x:c>
      <x:c r="F25" s="45" t="str">
        <x:v>保守A</x:v>
      </x:c>
      <x:c r="G25" s="52" t="n">
        <x:v>2</x:v>
      </x:c>
      <x:c r="H25" s="52" t="n">
        <x:v>120000</x:v>
      </x:c>
      <x:c r="I25" s="52" t="n">
        <x:v>240000</x:v>
      </x:c>
      <x:c r="J25" s="45" t="str">
        <x:v>完了</x:v>
      </x:c>
      <x:c r="K25" s="45" t="str">
        <x:v>電話</x:v>
      </x:c>
      <x:c r="L25" s="45" t="str"/>
    </x:row>
  </x:sheetData>
  <x:mergeCells>
    <x:mergeCell ref="A1:L2"/>
    <x:mergeCell ref="A4:L4"/>
    <x:mergeCell ref="A12:L12"/>
    <x:mergeCell ref="A20:L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4" hidden="0" customWidth="1"/>
    <x:col min="3" max="3" width="24" hidden="0" customWidth="1"/>
    <x:col min="4" max="4" width="24" hidden="0" customWidth="1"/>
    <x:col min="5" max="5" width="48" hidden="0" customWidth="1"/>
    <x:col min="6" max="6" width="13" hidden="0" customWidth="1"/>
  </x:cols>
  <x:sheetData>
    <x:row r="1" ht="34" customHeight="1">
      <x:c r="A1" s="6" t="str">
        <x:v>15列の列対応表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共通列</x:v>
      </x:c>
      <x:c r="B4" s="16" t="str">
        <x:v>営業1課</x:v>
      </x:c>
      <x:c r="C4" s="16" t="str">
        <x:v>営業2課</x:v>
      </x:c>
      <x:c r="D4" s="16" t="str">
        <x:v>技術部</x:v>
      </x:c>
      <x:c r="E4" s="16" t="str">
        <x:v>統一時の注意</x:v>
      </x:c>
      <x:c r="F4" s="16" t="str">
        <x:v>確認</x:v>
      </x:c>
    </x:row>
    <x:row r="5">
      <x:c r="A5" s="24" t="str">
        <x:v>実績ID</x:v>
      </x:c>
      <x:c r="B5" s="24" t="str">
        <x:v>なし</x:v>
      </x:c>
      <x:c r="C5" s="24" t="str">
        <x:v>なし</x:v>
      </x:c>
      <x:c r="D5" s="24" t="str">
        <x:v>なし</x:v>
      </x:c>
      <x:c r="E5" s="24" t="str">
        <x:v>元ファイル順・行順でR0001～R0012</x:v>
      </x:c>
      <x:c r="F5" s="24" t="str">
        <x:v>確認済み</x:v>
      </x:c>
    </x:row>
    <x:row r="6">
      <x:c r="A6" s="24" t="str">
        <x:v>実績日</x:v>
      </x:c>
      <x:c r="B6" s="24" t="str">
        <x:v>日付</x:v>
      </x:c>
      <x:c r="C6" s="24" t="str">
        <x:v>実績日</x:v>
      </x:c>
      <x:c r="D6" s="24" t="str">
        <x:v>年月日</x:v>
      </x:c>
      <x:c r="E6" s="28" t="str"/>
      <x:c r="F6" s="28" t="str">
        <x:v>未確認</x:v>
      </x:c>
    </x:row>
    <x:row r="7">
      <x:c r="A7" s="24" t="str">
        <x:v>年月</x:v>
      </x:c>
      <x:c r="B7" s="24" t="str">
        <x:v>なし</x:v>
      </x:c>
      <x:c r="C7" s="24" t="str">
        <x:v>なし</x:v>
      </x:c>
      <x:c r="D7" s="24" t="str">
        <x:v>なし</x:v>
      </x:c>
      <x:c r="E7" s="28" t="str"/>
      <x:c r="F7" s="28" t="str">
        <x:v>未確認</x:v>
      </x:c>
    </x:row>
    <x:row r="8">
      <x:c r="A8" s="24" t="str">
        <x:v>部門</x:v>
      </x:c>
      <x:c r="B8" s="24" t="str">
        <x:v>なし</x:v>
      </x:c>
      <x:c r="C8" s="24" t="str">
        <x:v>なし</x:v>
      </x:c>
      <x:c r="D8" s="24" t="str">
        <x:v>なし</x:v>
      </x:c>
      <x:c r="E8" s="28" t="str"/>
      <x:c r="F8" s="28" t="str">
        <x:v>未確認</x:v>
      </x:c>
    </x:row>
    <x:row r="9">
      <x:c r="A9" s="24" t="str">
        <x:v>担当者</x:v>
      </x:c>
      <x:c r="B9" s="24" t="str">
        <x:v>担当</x:v>
      </x:c>
      <x:c r="C9" s="24" t="str">
        <x:v>担当者</x:v>
      </x:c>
      <x:c r="D9" s="24" t="str">
        <x:v>担当者名</x:v>
      </x:c>
      <x:c r="E9" s="24" t="str">
        <x:v>正式氏名へ統一</x:v>
      </x:c>
      <x:c r="F9" s="24" t="str">
        <x:v>確認済み</x:v>
      </x:c>
    </x:row>
    <x:row r="10">
      <x:c r="A10" s="24" t="str">
        <x:v>地域</x:v>
      </x:c>
      <x:c r="B10" s="24" t="str">
        <x:v>エリア</x:v>
      </x:c>
      <x:c r="C10" s="24" t="str">
        <x:v>地域</x:v>
      </x:c>
      <x:c r="D10" s="24" t="str">
        <x:v>地域</x:v>
      </x:c>
      <x:c r="E10" s="24" t="str">
        <x:v>関東・中部・関西</x:v>
      </x:c>
      <x:c r="F10" s="24" t="str">
        <x:v>確認済み</x:v>
      </x:c>
    </x:row>
    <x:row r="11">
      <x:c r="A11" s="24" t="str">
        <x:v>顧客区分</x:v>
      </x:c>
      <x:c r="B11" s="24" t="str">
        <x:v>顧客種別</x:v>
      </x:c>
      <x:c r="C11" s="24" t="str">
        <x:v>顧客区分</x:v>
      </x:c>
      <x:c r="D11" s="24" t="str">
        <x:v>顧客区分</x:v>
      </x:c>
      <x:c r="E11" s="24" t="str">
        <x:v>新規・既存</x:v>
      </x:c>
      <x:c r="F11" s="24" t="str">
        <x:v>確認済み</x:v>
      </x:c>
    </x:row>
    <x:row r="12">
      <x:c r="A12" s="24" t="str">
        <x:v>サービスカテゴリ</x:v>
      </x:c>
      <x:c r="B12" s="24" t="str">
        <x:v>サービス分類</x:v>
      </x:c>
      <x:c r="C12" s="24" t="str">
        <x:v>サービスカテゴリ</x:v>
      </x:c>
      <x:c r="D12" s="24" t="str">
        <x:v>カテゴリ</x:v>
      </x:c>
      <x:c r="E12" s="24" t="str">
        <x:v>保守・導入・研修</x:v>
      </x:c>
      <x:c r="F12" s="24" t="str">
        <x:v>確認済み</x:v>
      </x:c>
    </x:row>
    <x:row r="13">
      <x:c r="A13" s="24" t="str">
        <x:v>サービス名</x:v>
      </x:c>
      <x:c r="B13" s="24" t="str">
        <x:v>サービス</x:v>
      </x:c>
      <x:c r="C13" s="24" t="str">
        <x:v>サービス名</x:v>
      </x:c>
      <x:c r="D13" s="24" t="str">
        <x:v>商品・サービス</x:v>
      </x:c>
      <x:c r="E13" s="24" t="str">
        <x:v>保守A・導入B・研修C</x:v>
      </x:c>
      <x:c r="F13" s="24" t="str">
        <x:v>確認済み</x:v>
      </x:c>
    </x:row>
    <x:row r="14">
      <x:c r="A14" s="24" t="str">
        <x:v>数量</x:v>
      </x:c>
      <x:c r="B14" s="24" t="str">
        <x:v>件数</x:v>
      </x:c>
      <x:c r="C14" s="24" t="str">
        <x:v>数量</x:v>
      </x:c>
      <x:c r="D14" s="24" t="str">
        <x:v>数量</x:v>
      </x:c>
      <x:c r="E14" s="24" t="str">
        <x:v>1以上の整数。単位文字を入れない</x:v>
      </x:c>
      <x:c r="F14" s="24" t="str">
        <x:v>確認済み</x:v>
      </x:c>
    </x:row>
    <x:row r="15">
      <x:c r="A15" s="24" t="str">
        <x:v>単価</x:v>
      </x:c>
      <x:c r="B15" s="24" t="str">
        <x:v>単価</x:v>
      </x:c>
      <x:c r="C15" s="24" t="str">
        <x:v>単価</x:v>
      </x:c>
      <x:c r="D15" s="24" t="str">
        <x:v>単価</x:v>
      </x:c>
      <x:c r="E15" s="24" t="str">
        <x:v>0以上の数値。円を入れない</x:v>
      </x:c>
      <x:c r="F15" s="24" t="str">
        <x:v>確認済み</x:v>
      </x:c>
    </x:row>
    <x:row r="16">
      <x:c r="A16" s="24" t="str">
        <x:v>売上金額</x:v>
      </x:c>
      <x:c r="B16" s="24" t="str">
        <x:v>売上額</x:v>
      </x:c>
      <x:c r="C16" s="24" t="str">
        <x:v>売上金額</x:v>
      </x:c>
      <x:c r="D16" s="24" t="str">
        <x:v>金額</x:v>
      </x:c>
      <x:c r="E16" s="28" t="str"/>
      <x:c r="F16" s="28" t="str">
        <x:v>未確認</x:v>
      </x:c>
    </x:row>
    <x:row r="17">
      <x:c r="A17" s="24" t="str">
        <x:v>ステータス</x:v>
      </x:c>
      <x:c r="B17" s="24" t="str">
        <x:v>状態</x:v>
      </x:c>
      <x:c r="C17" s="24" t="str">
        <x:v>ステータス</x:v>
      </x:c>
      <x:c r="D17" s="24" t="str">
        <x:v>進捗</x:v>
      </x:c>
      <x:c r="E17" s="28" t="str"/>
      <x:c r="F17" s="28" t="str">
        <x:v>未確認</x:v>
      </x:c>
    </x:row>
    <x:row r="18">
      <x:c r="A18" s="24" t="str">
        <x:v>受注経路</x:v>
      </x:c>
      <x:c r="B18" s="24" t="str">
        <x:v>経路</x:v>
      </x:c>
      <x:c r="C18" s="24" t="str">
        <x:v>受注経路</x:v>
      </x:c>
      <x:c r="D18" s="24" t="str">
        <x:v>チャネル</x:v>
      </x:c>
      <x:c r="E18" s="24" t="str">
        <x:v>Web・紹介・電話・イベント</x:v>
      </x:c>
      <x:c r="F18" s="24" t="str">
        <x:v>確認済み</x:v>
      </x:c>
    </x:row>
    <x:row r="19">
      <x:c r="A19" s="24" t="str">
        <x:v>備考</x:v>
      </x:c>
      <x:c r="B19" s="24" t="str">
        <x:v>メモ</x:v>
      </x:c>
      <x:c r="C19" s="24" t="str">
        <x:v>備考</x:v>
      </x:c>
      <x:c r="D19" s="24" t="str">
        <x:v>コメント</x:v>
      </x:c>
      <x:c r="E19" s="24" t="str">
        <x:v>任意の文字列</x:v>
      </x:c>
      <x:c r="F19" s="24" t="str">
        <x:v>確認済み</x:v>
      </x:c>
    </x:row>
    <x:row r="21">
      <x:c r="A21" s="16" t="str">
        <x:v>列対応表の確認</x:v>
      </x:c>
      <x:c r="B21" s="54" t="str">
        <x:v>未確認</x:v>
      </x:c>
    </x:row>
  </x:sheetData>
  <x:mergeCells>
    <x:mergeCell ref="A1:F2"/>
  </x:mergeCells>
  <x:dataValidations count="7">
    <x:dataValidation type="list" sqref="F5:F19">
      <x:formula1>"未確認,確認済み,OK,要確認"</x:formula1>
    </x:dataValidation>
    <x:dataValidation type="list" sqref="E6">
      <x:formula1>"Excel日付へ統一,文字列のまま保持,要確認"</x:formula1>
    </x:dataValidation>
    <x:dataValidation type="list" sqref="E7">
      <x:formula1>"実績日の月初日を保持,文字列で入力,要確認"</x:formula1>
    </x:dataValidation>
    <x:dataValidation type="list" sqref="E8">
      <x:formula1>"元ファイルの所属部門を補う,空欄のまま,要確認"</x:formula1>
    </x:dataValidation>
    <x:dataValidation type="list" sqref="E16">
      <x:formula1>"数値に統一し数量×単価と照合,文字列のまま,要確認"</x:formula1>
    </x:dataValidation>
    <x:dataValidation type="list" sqref="E17">
      <x:formula1>"受注済・済を完了へ統一,元表記を残す,要確認"</x:formula1>
    </x:dataValidation>
    <x:dataValidation type="list" sqref="B21">
      <x:formula1>"未確認,OK,要確認"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3" hidden="0" customWidth="1"/>
    <x:col min="4" max="4" width="15" hidden="0" customWidth="1"/>
    <x:col min="5" max="5" width="18" hidden="0" customWidth="1"/>
    <x:col min="6" max="6" width="12" hidden="0" customWidth="1"/>
    <x:col min="7" max="7" width="15" hidden="0" customWidth="1"/>
    <x:col min="8" max="8" width="22" hidden="0" customWidth="1"/>
    <x:col min="9" max="9" width="18" hidden="0" customWidth="1"/>
    <x:col min="10" max="10" width="11" hidden="0" customWidth="1"/>
    <x:col min="11" max="11" width="14" hidden="0" customWidth="1"/>
    <x:col min="12" max="12" width="16" hidden="0" customWidth="1"/>
    <x:col min="13" max="13" width="15" hidden="0" customWidth="1"/>
    <x:col min="14" max="14" width="16" hidden="0" customWidth="1"/>
    <x:col min="15" max="15" width="24" hidden="0" customWidth="1"/>
  </x:cols>
  <x:sheetData>
    <x:row r="1" ht="34" customHeight="1">
      <x:c r="A1" s="6" t="str">
        <x:v>月次実績テーブル　黄色のステータス2件だけ修正します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</x:row>
    <x:row r="2" ht="3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>
      <x:c r="A3" s="16" t="str">
        <x:v>実績ID</x:v>
      </x:c>
      <x:c r="B3" s="16" t="str">
        <x:v>実績日</x:v>
      </x:c>
      <x:c r="C3" s="16" t="str">
        <x:v>年月</x:v>
      </x:c>
      <x:c r="D3" s="16" t="str">
        <x:v>部門</x:v>
      </x:c>
      <x:c r="E3" s="16" t="str">
        <x:v>担当者</x:v>
      </x:c>
      <x:c r="F3" s="16" t="str">
        <x:v>地域</x:v>
      </x:c>
      <x:c r="G3" s="16" t="str">
        <x:v>顧客区分</x:v>
      </x:c>
      <x:c r="H3" s="16" t="str">
        <x:v>サービスカテゴリ</x:v>
      </x:c>
      <x:c r="I3" s="16" t="str">
        <x:v>サービス名</x:v>
      </x:c>
      <x:c r="J3" s="16" t="str">
        <x:v>数量</x:v>
      </x:c>
      <x:c r="K3" s="16" t="str">
        <x:v>単価</x:v>
      </x:c>
      <x:c r="L3" s="16" t="str">
        <x:v>売上金額</x:v>
      </x:c>
      <x:c r="M3" s="16" t="str">
        <x:v>ステータス</x:v>
      </x:c>
      <x:c r="N3" s="16" t="str">
        <x:v>受注経路</x:v>
      </x:c>
      <x:c r="O3" s="16" t="str">
        <x:v>備考</x:v>
      </x:c>
    </x:row>
    <x:row r="4">
      <x:c r="A4" s="45" t="str">
        <x:v>R0001</x:v>
      </x:c>
      <x:c r="B4" s="50" t="n">
        <x:v>46143</x:v>
      </x:c>
      <x:c r="C4" s="56" t="n">
        <x:v>46143</x:v>
      </x:c>
      <x:c r="D4" s="45" t="str">
        <x:v>営業1課</x:v>
      </x:c>
      <x:c r="E4" s="45" t="str">
        <x:v>佐藤太郎</x:v>
      </x:c>
      <x:c r="F4" s="45" t="str">
        <x:v>関西</x:v>
      </x:c>
      <x:c r="G4" s="45" t="str">
        <x:v>新規</x:v>
      </x:c>
      <x:c r="H4" s="45" t="str">
        <x:v>保守</x:v>
      </x:c>
      <x:c r="I4" s="45" t="str">
        <x:v>保守A</x:v>
      </x:c>
      <x:c r="J4" s="58" t="n">
        <x:v>1</x:v>
      </x:c>
      <x:c r="K4" s="52" t="n">
        <x:v>120000</x:v>
      </x:c>
      <x:c r="L4" s="52" t="n">
        <x:v>120000</x:v>
      </x:c>
      <x:c r="M4" s="45" t="str">
        <x:v>完了</x:v>
      </x:c>
      <x:c r="N4" s="45" t="str">
        <x:v>Web</x:v>
      </x:c>
      <x:c r="O4" s="45" t="str"/>
    </x:row>
    <x:row r="5">
      <x:c r="A5" s="45" t="str">
        <x:v>R0002</x:v>
      </x:c>
      <x:c r="B5" s="50" t="n">
        <x:v>46144</x:v>
      </x:c>
      <x:c r="C5" s="56" t="n">
        <x:v>46143</x:v>
      </x:c>
      <x:c r="D5" s="45" t="str">
        <x:v>営業1課</x:v>
      </x:c>
      <x:c r="E5" s="45" t="str">
        <x:v>佐藤太郎</x:v>
      </x:c>
      <x:c r="F5" s="45" t="str">
        <x:v>関西</x:v>
      </x:c>
      <x:c r="G5" s="45" t="str">
        <x:v>既存</x:v>
      </x:c>
      <x:c r="H5" s="45" t="str">
        <x:v>導入</x:v>
      </x:c>
      <x:c r="I5" s="45" t="str">
        <x:v>導入B</x:v>
      </x:c>
      <x:c r="J5" s="58" t="n">
        <x:v>2</x:v>
      </x:c>
      <x:c r="K5" s="52" t="n">
        <x:v>80000</x:v>
      </x:c>
      <x:c r="L5" s="52" t="n">
        <x:v>160000</x:v>
      </x:c>
      <x:c r="M5" s="45" t="str">
        <x:v>進行中</x:v>
      </x:c>
      <x:c r="N5" s="45" t="str">
        <x:v>紹介</x:v>
      </x:c>
      <x:c r="O5" s="45" t="str"/>
    </x:row>
    <x:row r="6">
      <x:c r="A6" s="45" t="str">
        <x:v>R0003</x:v>
      </x:c>
      <x:c r="B6" s="50" t="n">
        <x:v>46145</x:v>
      </x:c>
      <x:c r="C6" s="56" t="n">
        <x:v>46143</x:v>
      </x:c>
      <x:c r="D6" s="45" t="str">
        <x:v>営業1課</x:v>
      </x:c>
      <x:c r="E6" s="45" t="str">
        <x:v>山本直子</x:v>
      </x:c>
      <x:c r="F6" s="45" t="str">
        <x:v>中部</x:v>
      </x:c>
      <x:c r="G6" s="45" t="str">
        <x:v>新規</x:v>
      </x:c>
      <x:c r="H6" s="45" t="str">
        <x:v>研修</x:v>
      </x:c>
      <x:c r="I6" s="45" t="str">
        <x:v>研修C</x:v>
      </x:c>
      <x:c r="J6" s="58" t="n">
        <x:v>3</x:v>
      </x:c>
      <x:c r="K6" s="52" t="n">
        <x:v>50000</x:v>
      </x:c>
      <x:c r="L6" s="52" t="n">
        <x:v>150000</x:v>
      </x:c>
      <x:c r="M6" s="45" t="str">
        <x:v>完了</x:v>
      </x:c>
      <x:c r="N6" s="45" t="str">
        <x:v>電話</x:v>
      </x:c>
      <x:c r="O6" s="45" t="str"/>
    </x:row>
    <x:row r="7">
      <x:c r="A7" s="45" t="str">
        <x:v>R0004</x:v>
      </x:c>
      <x:c r="B7" s="50" t="n">
        <x:v>46146</x:v>
      </x:c>
      <x:c r="C7" s="56" t="n">
        <x:v>46143</x:v>
      </x:c>
      <x:c r="D7" s="45" t="str">
        <x:v>営業1課</x:v>
      </x:c>
      <x:c r="E7" s="45" t="str">
        <x:v>山本直子</x:v>
      </x:c>
      <x:c r="F7" s="45" t="str">
        <x:v>関東</x:v>
      </x:c>
      <x:c r="G7" s="45" t="str">
        <x:v>既存</x:v>
      </x:c>
      <x:c r="H7" s="45" t="str">
        <x:v>保守</x:v>
      </x:c>
      <x:c r="I7" s="45" t="str">
        <x:v>保守A</x:v>
      </x:c>
      <x:c r="J7" s="58" t="n">
        <x:v>1</x:v>
      </x:c>
      <x:c r="K7" s="52" t="n">
        <x:v>120000</x:v>
      </x:c>
      <x:c r="L7" s="52" t="n">
        <x:v>120000</x:v>
      </x:c>
      <x:c r="M7" s="28" t="str">
        <x:v>受注済</x:v>
      </x:c>
      <x:c r="N7" s="45" t="str">
        <x:v>Web</x:v>
      </x:c>
      <x:c r="O7" s="45" t="str">
        <x:v>表記確認</x:v>
      </x:c>
    </x:row>
    <x:row r="8">
      <x:c r="A8" s="45" t="str">
        <x:v>R0005</x:v>
      </x:c>
      <x:c r="B8" s="50" t="n">
        <x:v>46143</x:v>
      </x:c>
      <x:c r="C8" s="56" t="n">
        <x:v>46143</x:v>
      </x:c>
      <x:c r="D8" s="45" t="str">
        <x:v>営業2課</x:v>
      </x:c>
      <x:c r="E8" s="45" t="str">
        <x:v>鈴木花子</x:v>
      </x:c>
      <x:c r="F8" s="45" t="str">
        <x:v>関東</x:v>
      </x:c>
      <x:c r="G8" s="45" t="str">
        <x:v>新規</x:v>
      </x:c>
      <x:c r="H8" s="45" t="str">
        <x:v>導入</x:v>
      </x:c>
      <x:c r="I8" s="45" t="str">
        <x:v>導入B</x:v>
      </x:c>
      <x:c r="J8" s="58" t="n">
        <x:v>1</x:v>
      </x:c>
      <x:c r="K8" s="52" t="n">
        <x:v>80000</x:v>
      </x:c>
      <x:c r="L8" s="52" t="n">
        <x:v>80000</x:v>
      </x:c>
      <x:c r="M8" s="45" t="str">
        <x:v>完了</x:v>
      </x:c>
      <x:c r="N8" s="45" t="str">
        <x:v>紹介</x:v>
      </x:c>
      <x:c r="O8" s="45" t="str"/>
    </x:row>
    <x:row r="9">
      <x:c r="A9" s="45" t="str">
        <x:v>R0006</x:v>
      </x:c>
      <x:c r="B9" s="50" t="n">
        <x:v>46144</x:v>
      </x:c>
      <x:c r="C9" s="56" t="n">
        <x:v>46143</x:v>
      </x:c>
      <x:c r="D9" s="45" t="str">
        <x:v>営業2課</x:v>
      </x:c>
      <x:c r="E9" s="45" t="str">
        <x:v>鈴木花子</x:v>
      </x:c>
      <x:c r="F9" s="45" t="str">
        <x:v>関東</x:v>
      </x:c>
      <x:c r="G9" s="45" t="str">
        <x:v>既存</x:v>
      </x:c>
      <x:c r="H9" s="45" t="str">
        <x:v>保守</x:v>
      </x:c>
      <x:c r="I9" s="45" t="str">
        <x:v>保守A</x:v>
      </x:c>
      <x:c r="J9" s="58" t="n">
        <x:v>2</x:v>
      </x:c>
      <x:c r="K9" s="52" t="n">
        <x:v>120000</x:v>
      </x:c>
      <x:c r="L9" s="52" t="n">
        <x:v>240000</x:v>
      </x:c>
      <x:c r="M9" s="28" t="str">
        <x:v>済</x:v>
      </x:c>
      <x:c r="N9" s="45" t="str">
        <x:v>Web</x:v>
      </x:c>
      <x:c r="O9" s="45" t="str"/>
    </x:row>
    <x:row r="10">
      <x:c r="A10" s="45" t="str">
        <x:v>R0007</x:v>
      </x:c>
      <x:c r="B10" s="50" t="n">
        <x:v>46147</x:v>
      </x:c>
      <x:c r="C10" s="56" t="n">
        <x:v>46143</x:v>
      </x:c>
      <x:c r="D10" s="45" t="str">
        <x:v>営業2課</x:v>
      </x:c>
      <x:c r="E10" s="45" t="str">
        <x:v>田中一郎</x:v>
      </x:c>
      <x:c r="F10" s="45" t="str">
        <x:v>関西</x:v>
      </x:c>
      <x:c r="G10" s="45" t="str">
        <x:v>新規</x:v>
      </x:c>
      <x:c r="H10" s="45" t="str">
        <x:v>研修</x:v>
      </x:c>
      <x:c r="I10" s="45" t="str">
        <x:v>研修C</x:v>
      </x:c>
      <x:c r="J10" s="58" t="n">
        <x:v>2</x:v>
      </x:c>
      <x:c r="K10" s="52" t="n">
        <x:v>50000</x:v>
      </x:c>
      <x:c r="L10" s="52" t="n">
        <x:v>100000</x:v>
      </x:c>
      <x:c r="M10" s="45" t="str">
        <x:v>進行中</x:v>
      </x:c>
      <x:c r="N10" s="45" t="str">
        <x:v>イベント</x:v>
      </x:c>
      <x:c r="O10" s="45" t="str"/>
    </x:row>
    <x:row r="11">
      <x:c r="A11" s="45" t="str">
        <x:v>R0008</x:v>
      </x:c>
      <x:c r="B11" s="50" t="n">
        <x:v>46148</x:v>
      </x:c>
      <x:c r="C11" s="56" t="n">
        <x:v>46143</x:v>
      </x:c>
      <x:c r="D11" s="45" t="str">
        <x:v>営業2課</x:v>
      </x:c>
      <x:c r="E11" s="45" t="str">
        <x:v>田中一郎</x:v>
      </x:c>
      <x:c r="F11" s="45" t="str">
        <x:v>中部</x:v>
      </x:c>
      <x:c r="G11" s="45" t="str">
        <x:v>既存</x:v>
      </x:c>
      <x:c r="H11" s="45" t="str">
        <x:v>導入</x:v>
      </x:c>
      <x:c r="I11" s="45" t="str">
        <x:v>導入B</x:v>
      </x:c>
      <x:c r="J11" s="58" t="n">
        <x:v>3</x:v>
      </x:c>
      <x:c r="K11" s="52" t="n">
        <x:v>80000</x:v>
      </x:c>
      <x:c r="L11" s="52" t="n">
        <x:v>240000</x:v>
      </x:c>
      <x:c r="M11" s="45" t="str">
        <x:v>完了</x:v>
      </x:c>
      <x:c r="N11" s="45" t="str">
        <x:v>電話</x:v>
      </x:c>
      <x:c r="O11" s="45" t="str"/>
    </x:row>
    <x:row r="12">
      <x:c r="A12" s="45" t="str">
        <x:v>R0009</x:v>
      </x:c>
      <x:c r="B12" s="50" t="n">
        <x:v>46144</x:v>
      </x:c>
      <x:c r="C12" s="56" t="n">
        <x:v>46143</x:v>
      </x:c>
      <x:c r="D12" s="45" t="str">
        <x:v>技術部</x:v>
      </x:c>
      <x:c r="E12" s="45" t="str">
        <x:v>高橋健</x:v>
      </x:c>
      <x:c r="F12" s="45" t="str">
        <x:v>関西</x:v>
      </x:c>
      <x:c r="G12" s="45" t="str">
        <x:v>既存</x:v>
      </x:c>
      <x:c r="H12" s="45" t="str">
        <x:v>保守</x:v>
      </x:c>
      <x:c r="I12" s="45" t="str">
        <x:v>保守A</x:v>
      </x:c>
      <x:c r="J12" s="58" t="n">
        <x:v>1</x:v>
      </x:c>
      <x:c r="K12" s="52" t="n">
        <x:v>120000</x:v>
      </x:c>
      <x:c r="L12" s="52" t="n">
        <x:v>120000</x:v>
      </x:c>
      <x:c r="M12" s="45" t="str">
        <x:v>完了</x:v>
      </x:c>
      <x:c r="N12" s="45" t="str">
        <x:v>紹介</x:v>
      </x:c>
      <x:c r="O12" s="45" t="str"/>
    </x:row>
    <x:row r="13">
      <x:c r="A13" s="45" t="str">
        <x:v>R0010</x:v>
      </x:c>
      <x:c r="B13" s="50" t="n">
        <x:v>46145</x:v>
      </x:c>
      <x:c r="C13" s="56" t="n">
        <x:v>46143</x:v>
      </x:c>
      <x:c r="D13" s="45" t="str">
        <x:v>技術部</x:v>
      </x:c>
      <x:c r="E13" s="45" t="str">
        <x:v>高橋健</x:v>
      </x:c>
      <x:c r="F13" s="45" t="str">
        <x:v>関東</x:v>
      </x:c>
      <x:c r="G13" s="45" t="str">
        <x:v>新規</x:v>
      </x:c>
      <x:c r="H13" s="45" t="str">
        <x:v>導入</x:v>
      </x:c>
      <x:c r="I13" s="45" t="str">
        <x:v>導入B</x:v>
      </x:c>
      <x:c r="J13" s="58" t="n">
        <x:v>2</x:v>
      </x:c>
      <x:c r="K13" s="52" t="n">
        <x:v>80000</x:v>
      </x:c>
      <x:c r="L13" s="52" t="n">
        <x:v>160000</x:v>
      </x:c>
      <x:c r="M13" s="45" t="str">
        <x:v>進行中</x:v>
      </x:c>
      <x:c r="N13" s="45" t="str">
        <x:v>Web</x:v>
      </x:c>
      <x:c r="O13" s="45" t="str"/>
    </x:row>
    <x:row r="14">
      <x:c r="A14" s="45" t="str">
        <x:v>R0011</x:v>
      </x:c>
      <x:c r="B14" s="50" t="n">
        <x:v>46149</x:v>
      </x:c>
      <x:c r="C14" s="56" t="n">
        <x:v>46143</x:v>
      </x:c>
      <x:c r="D14" s="45" t="str">
        <x:v>技術部</x:v>
      </x:c>
      <x:c r="E14" s="45" t="str">
        <x:v>伊藤美咲</x:v>
      </x:c>
      <x:c r="F14" s="45" t="str">
        <x:v>中部</x:v>
      </x:c>
      <x:c r="G14" s="45" t="str">
        <x:v>既存</x:v>
      </x:c>
      <x:c r="H14" s="45" t="str">
        <x:v>研修</x:v>
      </x:c>
      <x:c r="I14" s="45" t="str">
        <x:v>研修C</x:v>
      </x:c>
      <x:c r="J14" s="58" t="n">
        <x:v>1</x:v>
      </x:c>
      <x:c r="K14" s="52" t="n">
        <x:v>50000</x:v>
      </x:c>
      <x:c r="L14" s="52" t="n">
        <x:v>50000</x:v>
      </x:c>
      <x:c r="M14" s="45" t="str">
        <x:v>完了</x:v>
      </x:c>
      <x:c r="N14" s="45" t="str">
        <x:v>イベント</x:v>
      </x:c>
      <x:c r="O14" s="45" t="str"/>
    </x:row>
    <x:row r="15">
      <x:c r="A15" s="45" t="str">
        <x:v>R0012</x:v>
      </x:c>
      <x:c r="B15" s="50" t="n">
        <x:v>46150</x:v>
      </x:c>
      <x:c r="C15" s="56" t="n">
        <x:v>46143</x:v>
      </x:c>
      <x:c r="D15" s="45" t="str">
        <x:v>技術部</x:v>
      </x:c>
      <x:c r="E15" s="45" t="str">
        <x:v>伊藤美咲</x:v>
      </x:c>
      <x:c r="F15" s="45" t="str">
        <x:v>関西</x:v>
      </x:c>
      <x:c r="G15" s="45" t="str">
        <x:v>新規</x:v>
      </x:c>
      <x:c r="H15" s="45" t="str">
        <x:v>保守</x:v>
      </x:c>
      <x:c r="I15" s="45" t="str">
        <x:v>保守A</x:v>
      </x:c>
      <x:c r="J15" s="58" t="n">
        <x:v>2</x:v>
      </x:c>
      <x:c r="K15" s="52" t="n">
        <x:v>120000</x:v>
      </x:c>
      <x:c r="L15" s="52" t="n">
        <x:v>240000</x:v>
      </x:c>
      <x:c r="M15" s="45" t="str">
        <x:v>完了</x:v>
      </x:c>
      <x:c r="N15" s="45" t="str">
        <x:v>電話</x:v>
      </x:c>
      <x:c r="O15" s="45" t="str"/>
    </x:row>
  </x:sheetData>
  <x:mergeCells>
    <x:mergeCell ref="A1:O2"/>
  </x:mergeCells>
  <x:dataValidations count="10">
    <x:dataValidation type="list" sqref="D4:D15">
      <x:formula1>'99_選択肢'!$A$2:$A$4</x:formula1>
    </x:dataValidation>
    <x:dataValidation type="list" sqref="E4:E15">
      <x:formula1>'99_選択肢'!$B$2:$B$7</x:formula1>
    </x:dataValidation>
    <x:dataValidation type="list" sqref="F4:F15">
      <x:formula1>'99_選択肢'!$C$2:$C$4</x:formula1>
    </x:dataValidation>
    <x:dataValidation type="list" sqref="G4:G15">
      <x:formula1>'99_選択肢'!$D$2:$D$3</x:formula1>
    </x:dataValidation>
    <x:dataValidation type="list" sqref="H4:H15">
      <x:formula1>'99_選択肢'!$E$2:$E$4</x:formula1>
    </x:dataValidation>
    <x:dataValidation type="list" sqref="I4:I15">
      <x:formula1>'99_選択肢'!$F$2:$F$4</x:formula1>
    </x:dataValidation>
    <x:dataValidation type="whole" sqref="J4:J15">
      <x:formula1>1</x:formula1>
    </x:dataValidation>
    <x:dataValidation type="decimal" sqref="K4:L15">
      <x:formula1>0</x:formula1>
    </x:dataValidation>
    <x:dataValidation type="list" sqref="M4:M15">
      <x:formula1>'99_選択肢'!$G$2:$G$4</x:formula1>
    </x:dataValidation>
    <x:dataValidation type="list" sqref="N4:N15">
      <x:formula1>'99_選択肢'!$H$2:$H$5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741be79643471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20" hidden="0" customWidth="1"/>
    <x:col min="8" max="8" width="32" hidden="0" customWidth="1"/>
    <x:col min="9" max="9" width="26" hidden="0" customWidth="1"/>
    <x:col min="10" max="10" width="24" hidden="0" customWidth="1"/>
  </x:cols>
  <x:sheetData>
    <x:row r="1" ht="34" customHeight="1">
      <x:c r="A1" s="6" t="str">
        <x:v>データ項目定義書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6" t="str">
        <x:v>列名</x:v>
      </x:c>
      <x:c r="B4" s="16" t="str">
        <x:v>説明</x:v>
      </x:c>
      <x:c r="C4" s="16" t="str">
        <x:v>必須・任意</x:v>
      </x:c>
      <x:c r="D4" s="16" t="str">
        <x:v>データ型</x:v>
      </x:c>
      <x:c r="E4" s="16" t="str">
        <x:v>表示形式</x:v>
      </x:c>
      <x:c r="F4" s="16" t="str">
        <x:v>入力方法</x:v>
      </x:c>
      <x:c r="G4" s="16" t="str">
        <x:v>入力例</x:v>
      </x:c>
      <x:c r="H4" s="16" t="str">
        <x:v>選択肢・範囲</x:v>
      </x:c>
      <x:c r="I4" s="16" t="str">
        <x:v>不正例</x:v>
      </x:c>
      <x:c r="J4" s="16" t="str">
        <x:v>確認方法</x:v>
      </x:c>
    </x:row>
    <x:row r="5">
      <x:c r="A5" s="45" t="str">
        <x:v>実績ID</x:v>
      </x:c>
      <x:c r="B5" s="45" t="str">
        <x:v>実績1件を一意に識別</x:v>
      </x:c>
      <x:c r="C5" s="45" t="str">
        <x:v>必須</x:v>
      </x:c>
      <x:c r="D5" s="45" t="str">
        <x:v>文字列</x:v>
      </x:c>
      <x:c r="E5" s="45" t="str">
        <x:v>R＋4桁</x:v>
      </x:c>
      <x:c r="F5" s="45" t="str">
        <x:v>採番</x:v>
      </x:c>
      <x:c r="G5" s="45" t="str">
        <x:v>R0001</x:v>
      </x:c>
      <x:c r="H5" s="45" t="str">
        <x:v>空欄・重複なし</x:v>
      </x:c>
      <x:c r="I5" s="45" t="str">
        <x:v>R1、空欄、重複</x:v>
      </x:c>
      <x:c r="J5" s="45" t="str">
        <x:v>空欄・重複確認</x:v>
      </x:c>
    </x:row>
    <x:row r="6">
      <x:c r="A6" s="45" t="str">
        <x:v>実績日</x:v>
      </x:c>
      <x:c r="B6" s="45" t="str">
        <x:v>実績が発生した日</x:v>
      </x:c>
      <x:c r="C6" s="45" t="str">
        <x:v>必須</x:v>
      </x:c>
      <x:c r="D6" s="45" t="str">
        <x:v>日付</x:v>
      </x:c>
      <x:c r="E6" s="45" t="str">
        <x:v>yyyy/mm/dd</x:v>
      </x:c>
      <x:c r="F6" s="45" t="str">
        <x:v>日付入力</x:v>
      </x:c>
      <x:c r="G6" s="45" t="str">
        <x:v>2026/05/01</x:v>
      </x:c>
      <x:c r="H6" s="45" t="str">
        <x:v>有効な日付</x:v>
      </x:c>
      <x:c r="I6" s="45" t="str">
        <x:v>5月1日という文字列</x:v>
      </x:c>
      <x:c r="J6" s="45" t="str">
        <x:v>日付表示を確認</x:v>
      </x:c>
    </x:row>
    <x:row r="7">
      <x:c r="A7" s="45" t="str">
        <x:v>年月</x:v>
      </x:c>
      <x:c r="B7" s="45" t="str">
        <x:v>月次集計用の月</x:v>
      </x:c>
      <x:c r="C7" s="45" t="str">
        <x:v>必須</x:v>
      </x:c>
      <x:c r="D7" s="45" t="str">
        <x:v>日付</x:v>
      </x:c>
      <x:c r="E7" s="45" t="str">
        <x:v>yyyy-mm</x:v>
      </x:c>
      <x:c r="F7" s="45" t="str">
        <x:v>実績日の月初日</x:v>
      </x:c>
      <x:c r="G7" s="45" t="str">
        <x:v>2026-05</x:v>
      </x:c>
      <x:c r="H7" s="45" t="str">
        <x:v>実績日と同じ月</x:v>
      </x:c>
      <x:c r="I7" s="45" t="str">
        <x:v>2026年5月という文字列</x:v>
      </x:c>
      <x:c r="J7" s="45" t="str">
        <x:v>実績日との月一致</x:v>
      </x:c>
    </x:row>
    <x:row r="8">
      <x:c r="A8" s="45" t="str">
        <x:v>部門</x:v>
      </x:c>
      <x:c r="B8" s="45" t="str">
        <x:v>実績を担当する部門</x:v>
      </x:c>
      <x:c r="C8" s="45" t="str">
        <x:v>必須</x:v>
      </x:c>
      <x:c r="D8" s="45" t="str">
        <x:v>文字列</x:v>
      </x:c>
      <x:c r="E8" s="45" t="str">
        <x:v>標準表記</x:v>
      </x:c>
      <x:c r="F8" s="45" t="str">
        <x:v>選択式</x:v>
      </x:c>
      <x:c r="G8" s="45" t="str">
        <x:v>営業1課</x:v>
      </x:c>
      <x:c r="H8" s="45" t="str">
        <x:v>営業1課・営業2課・技術部</x:v>
      </x:c>
      <x:c r="I8" s="45" t="str">
        <x:v>営業１課</x:v>
      </x:c>
      <x:c r="J8" s="45" t="str">
        <x:v>フィルター確認</x:v>
      </x:c>
    </x:row>
    <x:row r="9">
      <x:c r="A9" s="45" t="str">
        <x:v>担当者</x:v>
      </x:c>
      <x:c r="B9" s="45" t="str">
        <x:v>実績担当者</x:v>
      </x:c>
      <x:c r="C9" s="45" t="str">
        <x:v>必須</x:v>
      </x:c>
      <x:c r="D9" s="45" t="str">
        <x:v>文字列</x:v>
      </x:c>
      <x:c r="E9" s="45" t="str">
        <x:v>正式氏名</x:v>
      </x:c>
      <x:c r="F9" s="45" t="str">
        <x:v>選択式</x:v>
      </x:c>
      <x:c r="G9" s="45" t="str">
        <x:v>佐藤太郎</x:v>
      </x:c>
      <x:c r="H9" s="45" t="str">
        <x:v>指定6名</x:v>
      </x:c>
      <x:c r="I9" s="45" t="str">
        <x:v>佐藤</x:v>
      </x:c>
      <x:c r="J9" s="45" t="str">
        <x:v>フィルター確認</x:v>
      </x:c>
    </x:row>
    <x:row r="10">
      <x:c r="A10" s="45" t="str">
        <x:v>地域</x:v>
      </x:c>
      <x:c r="B10" s="45" t="str">
        <x:v>対象地域</x:v>
      </x:c>
      <x:c r="C10" s="45" t="str">
        <x:v>必須</x:v>
      </x:c>
      <x:c r="D10" s="45" t="str">
        <x:v>文字列</x:v>
      </x:c>
      <x:c r="E10" s="45" t="str">
        <x:v>標準表記</x:v>
      </x:c>
      <x:c r="F10" s="45" t="str">
        <x:v>選択式</x:v>
      </x:c>
      <x:c r="G10" s="45" t="str">
        <x:v>関東</x:v>
      </x:c>
      <x:c r="H10" s="45" t="str">
        <x:v>関東・中部・関西</x:v>
      </x:c>
      <x:c r="I10" s="45" t="str">
        <x:v>西日本</x:v>
      </x:c>
      <x:c r="J10" s="45" t="str">
        <x:v>フィルター確認</x:v>
      </x:c>
    </x:row>
    <x:row r="11">
      <x:c r="A11" s="45" t="str">
        <x:v>顧客区分</x:v>
      </x:c>
      <x:c r="B11" s="45" t="str">
        <x:v>新規・既存の区分</x:v>
      </x:c>
      <x:c r="C11" s="45" t="str">
        <x:v>必須</x:v>
      </x:c>
      <x:c r="D11" s="45" t="str">
        <x:v>文字列</x:v>
      </x:c>
      <x:c r="E11" s="45" t="str">
        <x:v>標準表記</x:v>
      </x:c>
      <x:c r="F11" s="45" t="str">
        <x:v>選択式</x:v>
      </x:c>
      <x:c r="G11" s="45" t="str">
        <x:v>新規</x:v>
      </x:c>
      <x:c r="H11" s="45" t="str">
        <x:v>新規・既存</x:v>
      </x:c>
      <x:c r="I11" s="45" t="str">
        <x:v>リピート</x:v>
      </x:c>
      <x:c r="J11" s="45" t="str">
        <x:v>フィルター確認</x:v>
      </x:c>
    </x:row>
    <x:row r="12">
      <x:c r="A12" s="45" t="str">
        <x:v>サービスカテゴリ</x:v>
      </x:c>
      <x:c r="B12" s="45" t="str">
        <x:v>サービスの大分類</x:v>
      </x:c>
      <x:c r="C12" s="45" t="str">
        <x:v>必須</x:v>
      </x:c>
      <x:c r="D12" s="45" t="str">
        <x:v>文字列</x:v>
      </x:c>
      <x:c r="E12" s="45" t="str">
        <x:v>標準表記</x:v>
      </x:c>
      <x:c r="F12" s="45" t="str">
        <x:v>選択式</x:v>
      </x:c>
      <x:c r="G12" s="45" t="str">
        <x:v>保守</x:v>
      </x:c>
      <x:c r="H12" s="45" t="str">
        <x:v>保守・導入・研修</x:v>
      </x:c>
      <x:c r="I12" s="45" t="str">
        <x:v>サポート</x:v>
      </x:c>
      <x:c r="J12" s="45" t="str">
        <x:v>フィルター確認</x:v>
      </x:c>
    </x:row>
    <x:row r="13">
      <x:c r="A13" s="45" t="str">
        <x:v>サービス名</x:v>
      </x:c>
      <x:c r="B13" s="45" t="str">
        <x:v>提供したサービス</x:v>
      </x:c>
      <x:c r="C13" s="45" t="str">
        <x:v>必須</x:v>
      </x:c>
      <x:c r="D13" s="45" t="str">
        <x:v>文字列</x:v>
      </x:c>
      <x:c r="E13" s="45" t="str">
        <x:v>標準表記</x:v>
      </x:c>
      <x:c r="F13" s="45" t="str">
        <x:v>選択式</x:v>
      </x:c>
      <x:c r="G13" s="45" t="str">
        <x:v>保守A</x:v>
      </x:c>
      <x:c r="H13" s="45" t="str">
        <x:v>保守A・導入B・研修C</x:v>
      </x:c>
      <x:c r="I13" s="45" t="str">
        <x:v>保守</x:v>
      </x:c>
      <x:c r="J13" s="45" t="str">
        <x:v>カテゴリとの対応</x:v>
      </x:c>
    </x:row>
    <x:row r="14">
      <x:c r="A14" s="45" t="str">
        <x:v>数量</x:v>
      </x:c>
      <x:c r="B14" s="45" t="str">
        <x:v>件数・個数</x:v>
      </x:c>
      <x:c r="C14" s="45" t="str">
        <x:v>必須</x:v>
      </x:c>
      <x:c r="D14" s="45" t="str">
        <x:v>整数</x:v>
      </x:c>
      <x:c r="E14" s="45" t="str">
        <x:v>0</x:v>
      </x:c>
      <x:c r="F14" s="45" t="str">
        <x:v>数値入力</x:v>
      </x:c>
      <x:c r="G14" s="45" t="str">
        <x:v>2</x:v>
      </x:c>
      <x:c r="H14" s="45" t="str">
        <x:v>1以上</x:v>
      </x:c>
      <x:c r="I14" s="45" t="str">
        <x:v>2件、0、-1</x:v>
      </x:c>
      <x:c r="J14" s="45" t="str">
        <x:v>数値条件</x:v>
      </x:c>
    </x:row>
    <x:row r="15">
      <x:c r="A15" s="45" t="str">
        <x:v>単価</x:v>
      </x:c>
      <x:c r="B15" s="45" t="str">
        <x:v>1件あたり金額</x:v>
      </x:c>
      <x:c r="C15" s="45" t="str">
        <x:v>必須</x:v>
      </x:c>
      <x:c r="D15" s="45" t="str">
        <x:v>数値</x:v>
      </x:c>
      <x:c r="E15" s="45" t="str">
        <x:v>#,##0</x:v>
      </x:c>
      <x:c r="F15" s="45" t="str">
        <x:v>数値入力</x:v>
      </x:c>
      <x:c r="G15" s="45" t="str">
        <x:v>120000</x:v>
      </x:c>
      <x:c r="H15" s="45" t="str">
        <x:v>0以上</x:v>
      </x:c>
      <x:c r="I15" s="45" t="str">
        <x:v>120,000円</x:v>
      </x:c>
      <x:c r="J15" s="45" t="str">
        <x:v>数値条件</x:v>
      </x:c>
    </x:row>
    <x:row r="16">
      <x:c r="A16" s="45" t="str">
        <x:v>売上金額</x:v>
      </x:c>
      <x:c r="B16" s="45" t="str">
        <x:v>対象実績の売上</x:v>
      </x:c>
      <x:c r="C16" s="45" t="str">
        <x:v>必須</x:v>
      </x:c>
      <x:c r="D16" s="45" t="str">
        <x:v>数値</x:v>
      </x:c>
      <x:c r="E16" s="45" t="str">
        <x:v>#,##0</x:v>
      </x:c>
      <x:c r="F16" s="45" t="str">
        <x:v>数値入力</x:v>
      </x:c>
      <x:c r="G16" s="45" t="str">
        <x:v>240000</x:v>
      </x:c>
      <x:c r="H16" s="45" t="str">
        <x:v>0以上</x:v>
      </x:c>
      <x:c r="I16" s="45" t="str">
        <x:v>24万円</x:v>
      </x:c>
      <x:c r="J16" s="45" t="str">
        <x:v>数量×単価</x:v>
      </x:c>
    </x:row>
    <x:row r="17">
      <x:c r="A17" s="45" t="str">
        <x:v>ステータス</x:v>
      </x:c>
      <x:c r="B17" s="45" t="str">
        <x:v>実績の進捗状態</x:v>
      </x:c>
      <x:c r="C17" s="45" t="str">
        <x:v>必須</x:v>
      </x:c>
      <x:c r="D17" s="45" t="str">
        <x:v>文字列</x:v>
      </x:c>
      <x:c r="E17" s="45" t="str">
        <x:v>標準表記</x:v>
      </x:c>
      <x:c r="F17" s="45" t="str">
        <x:v>選択式</x:v>
      </x:c>
      <x:c r="G17" s="45" t="str">
        <x:v>完了</x:v>
      </x:c>
      <x:c r="H17" s="45" t="str">
        <x:v>未着手・進行中・完了</x:v>
      </x:c>
      <x:c r="I17" s="45" t="str">
        <x:v>済、受注済</x:v>
      </x:c>
      <x:c r="J17" s="45" t="str">
        <x:v>フィルター確認</x:v>
      </x:c>
    </x:row>
    <x:row r="18">
      <x:c r="A18" s="45" t="str">
        <x:v>受注経路</x:v>
      </x:c>
      <x:c r="B18" s="45" t="str">
        <x:v>受注に至った経路</x:v>
      </x:c>
      <x:c r="C18" s="45" t="str">
        <x:v>必須</x:v>
      </x:c>
      <x:c r="D18" s="45" t="str">
        <x:v>文字列</x:v>
      </x:c>
      <x:c r="E18" s="45" t="str">
        <x:v>標準表記</x:v>
      </x:c>
      <x:c r="F18" s="45" t="str">
        <x:v>選択式</x:v>
      </x:c>
      <x:c r="G18" s="45" t="str">
        <x:v>Web</x:v>
      </x:c>
      <x:c r="H18" s="45" t="str">
        <x:v>Web・紹介・電話・イベント</x:v>
      </x:c>
      <x:c r="I18" s="45" t="str">
        <x:v>SNS</x:v>
      </x:c>
      <x:c r="J18" s="45" t="str">
        <x:v>フィルター確認</x:v>
      </x:c>
    </x:row>
    <x:row r="19">
      <x:c r="A19" s="45" t="str">
        <x:v>備考</x:v>
      </x:c>
      <x:c r="B19" s="45" t="str">
        <x:v>補足情報</x:v>
      </x:c>
      <x:c r="C19" s="45" t="str">
        <x:v>任意</x:v>
      </x:c>
      <x:c r="D19" s="45" t="str">
        <x:v>文字列</x:v>
      </x:c>
      <x:c r="E19" s="45" t="str">
        <x:v>自由入力</x:v>
      </x:c>
      <x:c r="F19" s="45" t="str">
        <x:v>手入力</x:v>
      </x:c>
      <x:c r="G19" s="45" t="str">
        <x:v>入力テスト</x:v>
      </x:c>
      <x:c r="H19" s="45" t="str">
        <x:v>任意</x:v>
      </x:c>
      <x:c r="I19" s="45" t="str">
        <x:v>必須情報を備考だけに記録</x:v>
      </x:c>
      <x:c r="J19" s="45" t="str">
        <x:v>内容確認</x:v>
      </x:c>
    </x:row>
    <x:row r="21">
      <x:c r="A21" s="16" t="str">
        <x:v>運用ルール</x:v>
      </x:c>
      <x:c r="B21" s="16" t="str">
        <x:v>入力</x:v>
      </x:c>
    </x:row>
    <x:row r="22">
      <x:c r="A22" s="24" t="str">
        <x:v>選択肢・定義の更新担当</x:v>
      </x:c>
      <x:c r="B22" s="28" t="str"/>
    </x:row>
    <x:row r="23">
      <x:c r="A23" s="24" t="str">
        <x:v>新しい選択肢を追加する手順</x:v>
      </x:c>
      <x:c r="B23" s="28" t="str"/>
    </x:row>
    <x:row r="24">
      <x:c r="A24" s="24" t="str">
        <x:v>不明・例外が発生した場合</x:v>
      </x:c>
      <x:c r="B24" s="28" t="str"/>
    </x:row>
  </x:sheetData>
  <x:mergeCells>
    <x:mergeCell ref="A1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3" hidden="0" customWidth="1"/>
    <x:col min="4" max="4" width="15" hidden="0" customWidth="1"/>
    <x:col min="5" max="5" width="18" hidden="0" customWidth="1"/>
    <x:col min="6" max="6" width="12" hidden="0" customWidth="1"/>
    <x:col min="7" max="7" width="15" hidden="0" customWidth="1"/>
    <x:col min="8" max="8" width="22" hidden="0" customWidth="1"/>
    <x:col min="9" max="9" width="18" hidden="0" customWidth="1"/>
    <x:col min="10" max="10" width="11" hidden="0" customWidth="1"/>
    <x:col min="11" max="11" width="14" hidden="0" customWidth="1"/>
    <x:col min="12" max="12" width="16" hidden="0" customWidth="1"/>
    <x:col min="13" max="13" width="15" hidden="0" customWidth="1"/>
    <x:col min="14" max="14" width="16" hidden="0" customWidth="1"/>
    <x:col min="15" max="15" width="24" hidden="0" customWidth="1"/>
  </x:cols>
  <x:sheetData>
    <x:row r="1" ht="34" customHeight="1">
      <x:c r="A1" s="6" t="str">
        <x:v>入力規則の動作確認　黄色の5セルだけ入力します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</x:row>
    <x:row r="2" ht="3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>
      <x:c r="A3" s="16" t="str">
        <x:v>実績ID</x:v>
      </x:c>
      <x:c r="B3" s="16" t="str">
        <x:v>実績日</x:v>
      </x:c>
      <x:c r="C3" s="16" t="str">
        <x:v>年月</x:v>
      </x:c>
      <x:c r="D3" s="16" t="str">
        <x:v>部門</x:v>
      </x:c>
      <x:c r="E3" s="16" t="str">
        <x:v>担当者</x:v>
      </x:c>
      <x:c r="F3" s="16" t="str">
        <x:v>地域</x:v>
      </x:c>
      <x:c r="G3" s="16" t="str">
        <x:v>顧客区分</x:v>
      </x:c>
      <x:c r="H3" s="16" t="str">
        <x:v>サービスカテゴリ</x:v>
      </x:c>
      <x:c r="I3" s="16" t="str">
        <x:v>サービス名</x:v>
      </x:c>
      <x:c r="J3" s="16" t="str">
        <x:v>数量</x:v>
      </x:c>
      <x:c r="K3" s="16" t="str">
        <x:v>単価</x:v>
      </x:c>
      <x:c r="L3" s="16" t="str">
        <x:v>売上金額</x:v>
      </x:c>
      <x:c r="M3" s="16" t="str">
        <x:v>ステータス</x:v>
      </x:c>
      <x:c r="N3" s="16" t="str">
        <x:v>受注経路</x:v>
      </x:c>
      <x:c r="O3" s="16" t="str">
        <x:v>備考</x:v>
      </x:c>
    </x:row>
    <x:row r="4">
      <x:c r="A4" s="45" t="str">
        <x:v>R0013</x:v>
      </x:c>
      <x:c r="B4" s="50" t="n">
        <x:v>46151</x:v>
      </x:c>
      <x:c r="C4" s="56" t="n">
        <x:v>46143</x:v>
      </x:c>
      <x:c r="D4" s="28" t="str"/>
      <x:c r="E4" s="45" t="str">
        <x:v>佐藤太郎</x:v>
      </x:c>
      <x:c r="F4" s="28" t="str"/>
      <x:c r="G4" s="45" t="str">
        <x:v>既存</x:v>
      </x:c>
      <x:c r="H4" s="45" t="str">
        <x:v>保守</x:v>
      </x:c>
      <x:c r="I4" s="45" t="str">
        <x:v>保守A</x:v>
      </x:c>
      <x:c r="J4" s="62"/>
      <x:c r="K4" s="52" t="n">
        <x:v>120000</x:v>
      </x:c>
      <x:c r="L4" s="64" t="n">
        <x:f>J4*K4</x:f>
        <x:v>0</x:v>
      </x:c>
      <x:c r="M4" s="28" t="str"/>
      <x:c r="N4" s="28" t="str"/>
      <x:c r="O4" s="45" t="str">
        <x:v>入力テスト</x:v>
      </x:c>
    </x:row>
    <x:row r="7">
      <x:c r="A7" s="16" t="str">
        <x:v>確認項目</x:v>
      </x:c>
      <x:c r="B7" s="16" t="str">
        <x:v>期待値</x:v>
      </x:c>
      <x:c r="C7" s="16" t="str">
        <x:v>結果</x:v>
      </x:c>
    </x:row>
    <x:row r="8">
      <x:c r="A8" s="24" t="str">
        <x:v>部門</x:v>
      </x:c>
      <x:c r="B8" s="24" t="str">
        <x:v>営業1課</x:v>
      </x:c>
      <x:c r="C8" s="24" t="str">
        <x:v>未確認</x:v>
      </x:c>
    </x:row>
    <x:row r="9">
      <x:c r="A9" s="24" t="str">
        <x:v>地域</x:v>
      </x:c>
      <x:c r="B9" s="24" t="str">
        <x:v>関東</x:v>
      </x:c>
      <x:c r="C9" s="24" t="str">
        <x:v>未確認</x:v>
      </x:c>
    </x:row>
    <x:row r="10">
      <x:c r="A10" s="24" t="str">
        <x:v>数量</x:v>
      </x:c>
      <x:c r="B10" s="24" t="str">
        <x:v>1</x:v>
      </x:c>
      <x:c r="C10" s="24" t="str">
        <x:v>未確認</x:v>
      </x:c>
    </x:row>
    <x:row r="11">
      <x:c r="A11" s="24" t="str">
        <x:v>ステータス</x:v>
      </x:c>
      <x:c r="B11" s="24" t="str">
        <x:v>完了</x:v>
      </x:c>
      <x:c r="C11" s="24" t="str">
        <x:v>未確認</x:v>
      </x:c>
    </x:row>
    <x:row r="12">
      <x:c r="A12" s="24" t="str">
        <x:v>受注経路</x:v>
      </x:c>
      <x:c r="B12" s="24" t="str">
        <x:v>紹介</x:v>
      </x:c>
      <x:c r="C12" s="24" t="str">
        <x:v>未確認</x:v>
      </x:c>
    </x:row>
    <x:row r="13">
      <x:c r="A13" s="24" t="str">
        <x:v>売上金額</x:v>
      </x:c>
      <x:c r="B13" s="24" t="str">
        <x:v>120000</x:v>
      </x:c>
      <x:c r="C13" s="24" t="str">
        <x:v>未確認</x:v>
      </x:c>
    </x:row>
  </x:sheetData>
  <x:mergeCells>
    <x:mergeCell ref="A1:O2"/>
  </x:mergeCells>
  <x:dataValidations count="6">
    <x:dataValidation type="list" sqref="D4">
      <x:formula1>'99_選択肢'!$A$2:$A$4</x:formula1>
    </x:dataValidation>
    <x:dataValidation type="list" sqref="F4">
      <x:formula1>'99_選択肢'!$C$2:$C$4</x:formula1>
    </x:dataValidation>
    <x:dataValidation type="whole" sqref="J4">
      <x:formula1>1</x:formula1>
    </x:dataValidation>
    <x:dataValidation type="list" sqref="M4">
      <x:formula1>'99_選択肢'!$G$2:$G$4</x:formula1>
    </x:dataValidation>
    <x:dataValidation type="list" sqref="N4">
      <x:formula1>'99_選択肢'!$H$2:$H$5</x:formula1>
    </x:dataValidation>
    <x:dataValidation type="list" sqref="C8:C13">
      <x:formula1>"未確認,OK,要確認"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4" hidden="0" customWidth="1"/>
    <x:col min="5" max="5" width="5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6" t="str">
        <x:v>統合結果の検証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確認項目</x:v>
      </x:c>
      <x:c r="B4" s="16" t="str">
        <x:v>実際の値</x:v>
      </x:c>
      <x:c r="C4" s="16" t="str">
        <x:v>期待値</x:v>
      </x:c>
      <x:c r="D4" s="16" t="str">
        <x:v>判定</x:v>
      </x:c>
      <x:c r="F4" s="16" t="str">
        <x:v>実績ID</x:v>
      </x:c>
      <x:c r="G4" s="16" t="str">
        <x:v>同一ID件数</x:v>
      </x:c>
      <x:c r="H4" s="16" t="str">
        <x:v>計算不一致</x:v>
      </x:c>
    </x:row>
    <x:row r="5">
      <x:c r="A5" s="24" t="str">
        <x:v>共通列数</x:v>
      </x:c>
      <x:c r="B5" s="60" t="n">
        <x:f>COUNTA('03_共通フォーマット'!A3:O3)</x:f>
        <x:v>15</x:v>
      </x:c>
      <x:c r="C5" s="66" t="n">
        <x:v>15</x:v>
      </x:c>
      <x:c r="D5" s="68" t="str">
        <x:f>IF(B5=C5,"OK","要確認")</x:f>
        <x:v>OK</x:v>
      </x:c>
      <x:c r="F5" s="45" t="str">
        <x:v>R0001</x:v>
      </x:c>
      <x:c r="G5" s="45" t="n">
        <x:f>COUNTIF('03_共通フォーマット'!$A$4:$A$15,F5)</x:f>
        <x:v>1</x:v>
      </x:c>
      <x:c r="H5" s="45" t="n">
        <x:f>IF('03_共通フォーマット'!J4*'03_共通フォーマット'!K4='03_共通フォーマット'!L4,0,1)</x:f>
        <x:v>0</x:v>
      </x:c>
    </x:row>
    <x:row r="6">
      <x:c r="A6" s="24" t="str">
        <x:v>明細件数</x:v>
      </x:c>
      <x:c r="B6" s="60" t="n">
        <x:f>COUNTA('03_共通フォーマット'!A4:A15)</x:f>
        <x:v>12</x:v>
      </x:c>
      <x:c r="C6" s="66" t="n">
        <x:v>12</x:v>
      </x:c>
      <x:c r="D6" s="68" t="str">
        <x:f>IF(B6=C6,"OK","要確認")</x:f>
        <x:v>OK</x:v>
      </x:c>
      <x:c r="F6" s="45" t="str">
        <x:v>R0002</x:v>
      </x:c>
      <x:c r="G6" s="45" t="n">
        <x:f>COUNTIF('03_共通フォーマット'!$A$4:$A$15,F6)</x:f>
        <x:v>1</x:v>
      </x:c>
      <x:c r="H6" s="45" t="n">
        <x:f>IF('03_共通フォーマット'!J5*'03_共通フォーマット'!K5='03_共通フォーマット'!L5,0,1)</x:f>
        <x:v>0</x:v>
      </x:c>
    </x:row>
    <x:row r="7">
      <x:c r="A7" s="24" t="str">
        <x:v>売上金額合計</x:v>
      </x:c>
      <x:c r="B7" s="64" t="n">
        <x:f>SUM('03_共通フォーマット'!L4:L15)</x:f>
        <x:v>1780000</x:v>
      </x:c>
      <x:c r="C7" s="70" t="n">
        <x:v>1780000</x:v>
      </x:c>
      <x:c r="D7" s="68" t="str">
        <x:f>IF(B7=C7,"OK","要確認")</x:f>
        <x:v>OK</x:v>
      </x:c>
      <x:c r="F7" s="45" t="str">
        <x:v>R0003</x:v>
      </x:c>
      <x:c r="G7" s="45" t="n">
        <x:f>COUNTIF('03_共通フォーマット'!$A$4:$A$15,F7)</x:f>
        <x:v>1</x:v>
      </x:c>
      <x:c r="H7" s="45" t="n">
        <x:f>IF('03_共通フォーマット'!J6*'03_共通フォーマット'!K6='03_共通フォーマット'!L6,0,1)</x:f>
        <x:v>0</x:v>
      </x:c>
    </x:row>
    <x:row r="8">
      <x:c r="A8" s="24" t="str">
        <x:v>営業1課件数</x:v>
      </x:c>
      <x:c r="B8" s="60" t="n">
        <x:f>COUNTIF('03_共通フォーマット'!D4:D15,"営業1課")</x:f>
        <x:v>4</x:v>
      </x:c>
      <x:c r="C8" s="66" t="n">
        <x:v>4</x:v>
      </x:c>
      <x:c r="D8" s="68" t="str">
        <x:f>IF(B8=C8,"OK","要確認")</x:f>
        <x:v>OK</x:v>
      </x:c>
      <x:c r="F8" s="45" t="str">
        <x:v>R0004</x:v>
      </x:c>
      <x:c r="G8" s="45" t="n">
        <x:f>COUNTIF('03_共通フォーマット'!$A$4:$A$15,F8)</x:f>
        <x:v>1</x:v>
      </x:c>
      <x:c r="H8" s="45" t="n">
        <x:f>IF('03_共通フォーマット'!J7*'03_共通フォーマット'!K7='03_共通フォーマット'!L7,0,1)</x:f>
        <x:v>0</x:v>
      </x:c>
    </x:row>
    <x:row r="9">
      <x:c r="A9" s="24" t="str">
        <x:v>営業2課件数</x:v>
      </x:c>
      <x:c r="B9" s="60" t="n">
        <x:f>COUNTIF('03_共通フォーマット'!D4:D15,"営業2課")</x:f>
        <x:v>4</x:v>
      </x:c>
      <x:c r="C9" s="66" t="n">
        <x:v>4</x:v>
      </x:c>
      <x:c r="D9" s="68" t="str">
        <x:f>IF(B9=C9,"OK","要確認")</x:f>
        <x:v>OK</x:v>
      </x:c>
      <x:c r="F9" s="45" t="str">
        <x:v>R0005</x:v>
      </x:c>
      <x:c r="G9" s="45" t="n">
        <x:f>COUNTIF('03_共通フォーマット'!$A$4:$A$15,F9)</x:f>
        <x:v>1</x:v>
      </x:c>
      <x:c r="H9" s="45" t="n">
        <x:f>IF('03_共通フォーマット'!J8*'03_共通フォーマット'!K8='03_共通フォーマット'!L8,0,1)</x:f>
        <x:v>0</x:v>
      </x:c>
    </x:row>
    <x:row r="10">
      <x:c r="A10" s="24" t="str">
        <x:v>技術部件数</x:v>
      </x:c>
      <x:c r="B10" s="60" t="n">
        <x:f>COUNTIF('03_共通フォーマット'!D4:D15,"技術部")</x:f>
        <x:v>4</x:v>
      </x:c>
      <x:c r="C10" s="66" t="n">
        <x:v>4</x:v>
      </x:c>
      <x:c r="D10" s="68" t="str">
        <x:f>IF(B10=C10,"OK","要確認")</x:f>
        <x:v>OK</x:v>
      </x:c>
      <x:c r="F10" s="45" t="str">
        <x:v>R0006</x:v>
      </x:c>
      <x:c r="G10" s="45" t="n">
        <x:f>COUNTIF('03_共通フォーマット'!$A$4:$A$15,F10)</x:f>
        <x:v>1</x:v>
      </x:c>
      <x:c r="H10" s="45" t="n">
        <x:f>IF('03_共通フォーマット'!J9*'03_共通フォーマット'!K9='03_共通フォーマット'!L9,0,1)</x:f>
        <x:v>0</x:v>
      </x:c>
    </x:row>
    <x:row r="11">
      <x:c r="A11" s="24" t="str">
        <x:v>保守件数</x:v>
      </x:c>
      <x:c r="B11" s="60" t="n">
        <x:f>COUNTIF('03_共通フォーマット'!H4:H15,"保守")</x:f>
        <x:v>5</x:v>
      </x:c>
      <x:c r="C11" s="66" t="n">
        <x:v>5</x:v>
      </x:c>
      <x:c r="D11" s="68" t="str">
        <x:f>IF(B11=C11,"OK","要確認")</x:f>
        <x:v>OK</x:v>
      </x:c>
      <x:c r="F11" s="45" t="str">
        <x:v>R0007</x:v>
      </x:c>
      <x:c r="G11" s="45" t="n">
        <x:f>COUNTIF('03_共通フォーマット'!$A$4:$A$15,F11)</x:f>
        <x:v>1</x:v>
      </x:c>
      <x:c r="H11" s="45" t="n">
        <x:f>IF('03_共通フォーマット'!J10*'03_共通フォーマット'!K10='03_共通フォーマット'!L10,0,1)</x:f>
        <x:v>0</x:v>
      </x:c>
    </x:row>
    <x:row r="12">
      <x:c r="A12" s="24" t="str">
        <x:v>保守売上</x:v>
      </x:c>
      <x:c r="B12" s="64" t="n">
        <x:f>SUMIF('03_共通フォーマット'!H4:H15,"保守",'03_共通フォーマット'!L4:L15)</x:f>
        <x:v>840000</x:v>
      </x:c>
      <x:c r="C12" s="70" t="n">
        <x:v>840000</x:v>
      </x:c>
      <x:c r="D12" s="68" t="str">
        <x:f>IF(B12=C12,"OK","要確認")</x:f>
        <x:v>OK</x:v>
      </x:c>
      <x:c r="F12" s="45" t="str">
        <x:v>R0008</x:v>
      </x:c>
      <x:c r="G12" s="45" t="n">
        <x:f>COUNTIF('03_共通フォーマット'!$A$4:$A$15,F12)</x:f>
        <x:v>1</x:v>
      </x:c>
      <x:c r="H12" s="45" t="n">
        <x:f>IF('03_共通フォーマット'!J11*'03_共通フォーマット'!K11='03_共通フォーマット'!L11,0,1)</x:f>
        <x:v>0</x:v>
      </x:c>
    </x:row>
    <x:row r="13">
      <x:c r="A13" s="24" t="str">
        <x:v>導入件数</x:v>
      </x:c>
      <x:c r="B13" s="60" t="n">
        <x:f>COUNTIF('03_共通フォーマット'!H4:H15,"導入")</x:f>
        <x:v>4</x:v>
      </x:c>
      <x:c r="C13" s="66" t="n">
        <x:v>4</x:v>
      </x:c>
      <x:c r="D13" s="68" t="str">
        <x:f>IF(B13=C13,"OK","要確認")</x:f>
        <x:v>OK</x:v>
      </x:c>
      <x:c r="F13" s="45" t="str">
        <x:v>R0009</x:v>
      </x:c>
      <x:c r="G13" s="45" t="n">
        <x:f>COUNTIF('03_共通フォーマット'!$A$4:$A$15,F13)</x:f>
        <x:v>1</x:v>
      </x:c>
      <x:c r="H13" s="45" t="n">
        <x:f>IF('03_共通フォーマット'!J12*'03_共通フォーマット'!K12='03_共通フォーマット'!L12,0,1)</x:f>
        <x:v>0</x:v>
      </x:c>
    </x:row>
    <x:row r="14">
      <x:c r="A14" s="24" t="str">
        <x:v>導入売上</x:v>
      </x:c>
      <x:c r="B14" s="64" t="n">
        <x:f>SUMIF('03_共通フォーマット'!H4:H15,"導入",'03_共通フォーマット'!L4:L15)</x:f>
        <x:v>640000</x:v>
      </x:c>
      <x:c r="C14" s="70" t="n">
        <x:v>640000</x:v>
      </x:c>
      <x:c r="D14" s="68" t="str">
        <x:f>IF(B14=C14,"OK","要確認")</x:f>
        <x:v>OK</x:v>
      </x:c>
      <x:c r="F14" s="45" t="str">
        <x:v>R0010</x:v>
      </x:c>
      <x:c r="G14" s="45" t="n">
        <x:f>COUNTIF('03_共通フォーマット'!$A$4:$A$15,F14)</x:f>
        <x:v>1</x:v>
      </x:c>
      <x:c r="H14" s="45" t="n">
        <x:f>IF('03_共通フォーマット'!J13*'03_共通フォーマット'!K13='03_共通フォーマット'!L13,0,1)</x:f>
        <x:v>0</x:v>
      </x:c>
    </x:row>
    <x:row r="15">
      <x:c r="A15" s="24" t="str">
        <x:v>研修件数</x:v>
      </x:c>
      <x:c r="B15" s="60" t="n">
        <x:f>COUNTIF('03_共通フォーマット'!H4:H15,"研修")</x:f>
        <x:v>3</x:v>
      </x:c>
      <x:c r="C15" s="66" t="n">
        <x:v>3</x:v>
      </x:c>
      <x:c r="D15" s="68" t="str">
        <x:f>IF(B15=C15,"OK","要確認")</x:f>
        <x:v>OK</x:v>
      </x:c>
      <x:c r="F15" s="45" t="str">
        <x:v>R0011</x:v>
      </x:c>
      <x:c r="G15" s="45" t="n">
        <x:f>COUNTIF('03_共通フォーマット'!$A$4:$A$15,F15)</x:f>
        <x:v>1</x:v>
      </x:c>
      <x:c r="H15" s="45" t="n">
        <x:f>IF('03_共通フォーマット'!J14*'03_共通フォーマット'!K14='03_共通フォーマット'!L14,0,1)</x:f>
        <x:v>0</x:v>
      </x:c>
    </x:row>
    <x:row r="16">
      <x:c r="A16" s="24" t="str">
        <x:v>研修売上</x:v>
      </x:c>
      <x:c r="B16" s="64" t="n">
        <x:f>SUMIF('03_共通フォーマット'!H4:H15,"研修",'03_共通フォーマット'!L4:L15)</x:f>
        <x:v>300000</x:v>
      </x:c>
      <x:c r="C16" s="70" t="n">
        <x:v>300000</x:v>
      </x:c>
      <x:c r="D16" s="68" t="str">
        <x:f>IF(B16=C16,"OK","要確認")</x:f>
        <x:v>OK</x:v>
      </x:c>
      <x:c r="F16" s="45" t="str">
        <x:v>R0012</x:v>
      </x:c>
      <x:c r="G16" s="45" t="n">
        <x:f>COUNTIF('03_共通フォーマット'!$A$4:$A$15,F16)</x:f>
        <x:v>1</x:v>
      </x:c>
      <x:c r="H16" s="45" t="n">
        <x:f>IF('03_共通フォーマット'!J15*'03_共通フォーマット'!K15='03_共通フォーマット'!L15,0,1)</x:f>
        <x:v>0</x:v>
      </x:c>
    </x:row>
    <x:row r="17">
      <x:c r="A17" s="24" t="str">
        <x:v>未着手件数</x:v>
      </x:c>
      <x:c r="B17" s="60" t="n">
        <x:f>COUNTIF('03_共通フォーマット'!M4:M15,"未着手")</x:f>
        <x:v>0</x:v>
      </x:c>
      <x:c r="C17" s="66" t="n">
        <x:v>0</x:v>
      </x:c>
      <x:c r="D17" s="68" t="str">
        <x:f>IF(B17=C17,"OK","要確認")</x:f>
        <x:v>OK</x:v>
      </x:c>
    </x:row>
    <x:row r="18">
      <x:c r="A18" s="24" t="str">
        <x:v>進行中件数</x:v>
      </x:c>
      <x:c r="B18" s="60" t="n">
        <x:f>COUNTIF('03_共通フォーマット'!M4:M15,"進行中")</x:f>
        <x:v>3</x:v>
      </x:c>
      <x:c r="C18" s="66" t="n">
        <x:v>3</x:v>
      </x:c>
      <x:c r="D18" s="68" t="str">
        <x:f>IF(B18=C18,"OK","要確認")</x:f>
        <x:v>OK</x:v>
      </x:c>
    </x:row>
    <x:row r="19">
      <x:c r="A19" s="24" t="str">
        <x:v>完了件数</x:v>
      </x:c>
      <x:c r="B19" s="60" t="n">
        <x:f>COUNTIF('03_共通フォーマット'!M4:M15,"完了")</x:f>
        <x:v>7</x:v>
      </x:c>
      <x:c r="C19" s="66" t="n">
        <x:v>9</x:v>
      </x:c>
      <x:c r="D19" s="68" t="str">
        <x:f>IF(B19=C19,"OK","要確認")</x:f>
        <x:v>要確認</x:v>
      </x:c>
    </x:row>
    <x:row r="20">
      <x:c r="A20" s="24" t="str">
        <x:v>実績ID空欄</x:v>
      </x:c>
      <x:c r="B20" s="60" t="n">
        <x:f>COUNTBLANK('03_共通フォーマット'!A4:A15)</x:f>
        <x:v>0</x:v>
      </x:c>
      <x:c r="C20" s="66" t="n">
        <x:v>0</x:v>
      </x:c>
      <x:c r="D20" s="68" t="str">
        <x:f>IF(B20=C20,"OK","要確認")</x:f>
        <x:v>OK</x:v>
      </x:c>
    </x:row>
    <x:row r="21">
      <x:c r="A21" s="24" t="str">
        <x:v>実績ID重複行</x:v>
      </x:c>
      <x:c r="B21" s="60" t="n">
        <x:f>COUNTIF(G5:G16,"&gt;1")</x:f>
        <x:v>0</x:v>
      </x:c>
      <x:c r="C21" s="66" t="n">
        <x:v>0</x:v>
      </x:c>
      <x:c r="D21" s="68" t="str">
        <x:f>IF(B21=C21,"OK","要確認")</x:f>
        <x:v>OK</x:v>
      </x:c>
    </x:row>
    <x:row r="22">
      <x:c r="A22" s="24" t="str">
        <x:v>数量×単価の不一致</x:v>
      </x:c>
      <x:c r="B22" s="60" t="n">
        <x:f>SUM(H5:H16)</x:f>
        <x:v>0</x:v>
      </x:c>
      <x:c r="C22" s="66" t="n">
        <x:v>0</x:v>
      </x:c>
      <x:c r="D22" s="68" t="str">
        <x:f>IF(B22=C22,"OK","要確認")</x:f>
        <x:v>OK</x:v>
      </x:c>
    </x:row>
    <x:row r="23">
      <x:c r="A23" s="24" t="str">
        <x:v>指定外ステータス</x:v>
      </x:c>
      <x:c r="B23" s="60" t="n">
        <x:f>COUNTIF('03_共通フォーマット'!M4:M15,"受注済")+COUNTIF('03_共通フォーマット'!M4:M15,"済")</x:f>
        <x:v>2</x:v>
      </x:c>
      <x:c r="C23" s="66" t="n">
        <x:v>0</x:v>
      </x:c>
      <x:c r="D23" s="68" t="str">
        <x:f>IF(B23=C23,"OK","要確認")</x:f>
        <x:v>要確認</x:v>
      </x:c>
    </x:row>
  </x:sheetData>
  <x:mergeCells>
    <x:mergeCell ref="A1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52" hidden="0" customWidth="1"/>
    <x:col min="4" max="4" width="22" hidden="0" customWidth="1"/>
  </x:cols>
  <x:sheetData>
    <x:row r="1" ht="34" customHeight="1">
      <x:c r="A1" s="6" t="str">
        <x:v>理解確認・完成記録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No.</x:v>
      </x:c>
      <x:c r="B4" s="16" t="str">
        <x:v>理解確認</x:v>
      </x:c>
      <x:c r="C4" s="16" t="str">
        <x:v>回答</x:v>
      </x:c>
      <x:c r="D4" s="16" t="str">
        <x:v>目安</x:v>
      </x:c>
    </x:row>
    <x:row r="5">
      <x:c r="A5" s="24" t="n">
        <x:v>1</x:v>
      </x:c>
      <x:c r="B5" s="24" t="str">
        <x:v>列名だけでなく意味・型もそろえる理由</x:v>
      </x:c>
      <x:c r="C5" s="28" t="str"/>
      <x:c r="D5" s="24" t="str">
        <x:v>1～2文</x:v>
      </x:c>
    </x:row>
    <x:row r="6">
      <x:c r="A6" s="24" t="n">
        <x:v>2</x:v>
      </x:c>
      <x:c r="B6" s="24" t="str">
        <x:v>数量へ3件、売上へ150,000円と入力しない理由</x:v>
      </x:c>
      <x:c r="C6" s="28" t="str"/>
      <x:c r="D6" s="24" t="str">
        <x:v>1～2文</x:v>
      </x:c>
    </x:row>
    <x:row r="7">
      <x:c r="A7" s="24" t="n">
        <x:v>3</x:v>
      </x:c>
      <x:c r="B7" s="24" t="str">
        <x:v>年月をExcel日付で管理する利点</x:v>
      </x:c>
      <x:c r="C7" s="28" t="str"/>
      <x:c r="D7" s="24" t="str">
        <x:v>1～2文</x:v>
      </x:c>
    </x:row>
    <x:row r="8">
      <x:c r="A8" s="24" t="n">
        <x:v>4</x:v>
      </x:c>
      <x:c r="B8" s="24" t="str">
        <x:v>入力規則と項目定義書を同時更新する理由</x:v>
      </x:c>
      <x:c r="C8" s="28" t="str"/>
      <x:c r="D8" s="24" t="str">
        <x:v>1～2文</x:v>
      </x:c>
    </x:row>
    <x:row r="9">
      <x:c r="A9" s="24" t="n">
        <x:v>5</x:v>
      </x:c>
      <x:c r="B9" s="24" t="str">
        <x:v>統合後に件数・売上・ID・計算を確認する理由</x:v>
      </x:c>
      <x:c r="C9" s="28" t="str"/>
      <x:c r="D9" s="24" t="str">
        <x:v>1～2文</x:v>
      </x:c>
    </x:row>
    <x:row r="11">
      <x:c r="A11" s="16" t="str">
        <x:v>完成記録</x:v>
      </x:c>
      <x:c r="B11" s="16" t="str">
        <x:v>記入・選択</x:v>
      </x:c>
      <x:c r="C11" s="16" t="str">
        <x:v>期待</x:v>
      </x:c>
      <x:c r="D11" s="16" t="str">
        <x:v>補足</x:v>
      </x:c>
    </x:row>
    <x:row r="12">
      <x:c r="A12" s="24" t="str">
        <x:v>使用環境</x:v>
      </x:c>
      <x:c r="B12" s="24" t="str"/>
      <x:c r="C12" s="24" t="str">
        <x:v>パソコン版／Web版</x:v>
      </x:c>
      <x:c r="D12" s="24" t="str"/>
    </x:row>
    <x:row r="13">
      <x:c r="A13" s="24" t="str">
        <x:v>ファイル名</x:v>
      </x:c>
      <x:c r="B13" s="24" t="str"/>
      <x:c r="C13" s="24" t="str">
        <x:v>中級_第二章_共通フォーマット_受講者名.xlsx</x:v>
      </x:c>
      <x:c r="D13" s="24" t="str"/>
    </x:row>
    <x:row r="14">
      <x:c r="A14" s="24" t="str">
        <x:v>列対応表</x:v>
      </x:c>
      <x:c r="B14" s="24" t="str">
        <x:v>未確認</x:v>
      </x:c>
      <x:c r="C14" s="24" t="str">
        <x:v>OK</x:v>
      </x:c>
      <x:c r="D14" s="24" t="str"/>
    </x:row>
    <x:row r="15">
      <x:c r="A15" s="24" t="str">
        <x:v>ステータス修正</x:v>
      </x:c>
      <x:c r="B15" s="24" t="str">
        <x:v>未確認</x:v>
      </x:c>
      <x:c r="C15" s="24" t="str">
        <x:v>OK</x:v>
      </x:c>
      <x:c r="D15" s="24" t="str"/>
    </x:row>
    <x:row r="16">
      <x:c r="A16" s="24" t="str">
        <x:v>項目定義・入力ルール</x:v>
      </x:c>
      <x:c r="B16" s="24" t="str">
        <x:v>未確認</x:v>
      </x:c>
      <x:c r="C16" s="24" t="str">
        <x:v>OK</x:v>
      </x:c>
      <x:c r="D16" s="24" t="str"/>
    </x:row>
    <x:row r="17">
      <x:c r="A17" s="24" t="str">
        <x:v>入力テスト</x:v>
      </x:c>
      <x:c r="B17" s="24" t="str">
        <x:v>未確認</x:v>
      </x:c>
      <x:c r="C17" s="24" t="str">
        <x:v>OK</x:v>
      </x:c>
      <x:c r="D17" s="24" t="str"/>
    </x:row>
    <x:row r="18">
      <x:c r="A18" s="24" t="str">
        <x:v>検証</x:v>
      </x:c>
      <x:c r="B18" s="24" t="str">
        <x:v>未確認</x:v>
      </x:c>
      <x:c r="C18" s="24" t="str">
        <x:v>OK</x:v>
      </x:c>
      <x:c r="D18" s="24" t="str"/>
    </x:row>
    <x:row r="19">
      <x:c r="A19" s="24" t="str">
        <x:v>共通列数</x:v>
      </x:c>
      <x:c r="B19" s="24" t="str"/>
      <x:c r="C19" s="24" t="str">
        <x:v>15</x:v>
      </x:c>
      <x:c r="D19" s="24" t="str"/>
    </x:row>
    <x:row r="20">
      <x:c r="A20" s="24" t="str">
        <x:v>統合した元ファイル数</x:v>
      </x:c>
      <x:c r="B20" s="24" t="str"/>
      <x:c r="C20" s="24" t="str">
        <x:v>3</x:v>
      </x:c>
      <x:c r="D20" s="24" t="str"/>
    </x:row>
    <x:row r="21">
      <x:c r="A21" s="24" t="str">
        <x:v>統合後の明細件数</x:v>
      </x:c>
      <x:c r="B21" s="24" t="str"/>
      <x:c r="C21" s="24" t="str">
        <x:v>12</x:v>
      </x:c>
      <x:c r="D21" s="24" t="str"/>
    </x:row>
    <x:row r="22">
      <x:c r="A22" s="24" t="str">
        <x:v>必須項目数</x:v>
      </x:c>
      <x:c r="B22" s="24" t="str"/>
      <x:c r="C22" s="24" t="str">
        <x:v>14</x:v>
      </x:c>
      <x:c r="D22" s="24" t="str"/>
    </x:row>
    <x:row r="23">
      <x:c r="A23" s="24" t="str">
        <x:v>任意項目数</x:v>
      </x:c>
      <x:c r="B23" s="24" t="str"/>
      <x:c r="C23" s="24" t="str">
        <x:v>1</x:v>
      </x:c>
      <x:c r="D23" s="24" t="str"/>
    </x:row>
    <x:row r="24">
      <x:c r="A24" s="24" t="str">
        <x:v>売上金額合計</x:v>
      </x:c>
      <x:c r="B24" s="24" t="str"/>
      <x:c r="C24" s="24" t="str">
        <x:v>1,780,000</x:v>
      </x:c>
      <x:c r="D24" s="24" t="str"/>
    </x:row>
    <x:row r="25">
      <x:c r="A25" s="24" t="str">
        <x:v>進行中件数</x:v>
      </x:c>
      <x:c r="B25" s="24" t="str"/>
      <x:c r="C25" s="24" t="str">
        <x:v>3</x:v>
      </x:c>
      <x:c r="D25" s="24" t="str"/>
    </x:row>
    <x:row r="26">
      <x:c r="A26" s="24" t="str">
        <x:v>完了件数</x:v>
      </x:c>
      <x:c r="B26" s="24" t="str"/>
      <x:c r="C26" s="24" t="str">
        <x:v>9</x:v>
      </x:c>
      <x:c r="D26" s="24" t="str"/>
    </x:row>
    <x:row r="27">
      <x:c r="A27" s="24" t="str">
        <x:v>実績ID空欄</x:v>
      </x:c>
      <x:c r="B27" s="24" t="str"/>
      <x:c r="C27" s="24" t="str">
        <x:v>0</x:v>
      </x:c>
      <x:c r="D27" s="24" t="str"/>
    </x:row>
    <x:row r="28">
      <x:c r="A28" s="24" t="str">
        <x:v>実績ID重複</x:v>
      </x:c>
      <x:c r="B28" s="24" t="str"/>
      <x:c r="C28" s="24" t="str">
        <x:v>0</x:v>
      </x:c>
      <x:c r="D28" s="24" t="str"/>
    </x:row>
    <x:row r="29">
      <x:c r="A29" s="24" t="str">
        <x:v>数量×単価の不一致</x:v>
      </x:c>
      <x:c r="B29" s="24" t="str"/>
      <x:c r="C29" s="24" t="str">
        <x:v>0</x:v>
      </x:c>
      <x:c r="D29" s="24" t="str"/>
    </x:row>
    <x:row r="30">
      <x:c r="A30" s="24" t="str">
        <x:v>指定外ステータス</x:v>
      </x:c>
      <x:c r="B30" s="24" t="str"/>
      <x:c r="C30" s="24" t="str">
        <x:v>0</x:v>
      </x:c>
      <x:c r="D30" s="24" t="str"/>
    </x:row>
    <x:row r="31">
      <x:c r="A31" s="24" t="str">
        <x:v>入力テスト結果</x:v>
      </x:c>
      <x:c r="B31" s="24" t="str"/>
      <x:c r="C31" s="24" t="str">
        <x:v>売上金額120,000</x:v>
      </x:c>
      <x:c r="D31" s="24" t="str"/>
    </x:row>
    <x:row r="32">
      <x:c r="A32" s="24" t="str">
        <x:v>未解決の質問</x:v>
      </x:c>
      <x:c r="B32" s="24" t="str"/>
      <x:c r="C32" s="24" t="str">
        <x:v>なし／内容を記載</x:v>
      </x:c>
      <x:c r="D32" s="24" t="str"/>
    </x:row>
    <x:row r="33">
      <x:c r="A33" s="24" t="str">
        <x:v>第二章の完成判定</x:v>
      </x:c>
      <x:c r="B33" s="24" t="str">
        <x:v>要確認</x:v>
      </x:c>
      <x:c r="C33" s="24" t="str">
        <x:v>完成</x:v>
      </x:c>
      <x:c r="D33" s="24" t="str"/>
    </x:row>
  </x:sheetData>
  <x:mergeCells>
    <x:mergeCell ref="A1:D2"/>
  </x:mergeCells>
  <x:dataValidations count="3">
    <x:dataValidation type="list" sqref="B12">
      <x:formula1>"パソコン版,Web版"</x:formula1>
    </x:dataValidation>
    <x:dataValidation type="list" sqref="B14:B18">
      <x:formula1>"未確認,OK,要確認"</x:formula1>
    </x:dataValidation>
    <x:dataValidation type="list" sqref="B33">
      <x:formula1>"完成,要確認"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6" t="str">
        <x:v>入力規則用の正式な選択肢</x:v>
      </x:c>
      <x:c r="B1" s="6"/>
      <x:c r="C1" s="6"/>
      <x:c r="D1" s="6"/>
      <x:c r="E1" s="6"/>
      <x:c r="F1" s="6"/>
      <x:c r="G1" s="6"/>
      <x:c r="H1" s="6"/>
    </x:row>
    <x:row r="3">
      <x:c r="A3" s="16" t="str">
        <x:v>部門</x:v>
      </x:c>
      <x:c r="B3" s="16" t="str">
        <x:v>担当者</x:v>
      </x:c>
      <x:c r="C3" s="16" t="str">
        <x:v>地域</x:v>
      </x:c>
      <x:c r="D3" s="16" t="str">
        <x:v>顧客区分</x:v>
      </x:c>
      <x:c r="E3" s="16" t="str">
        <x:v>サービスカテゴリ</x:v>
      </x:c>
      <x:c r="F3" s="16" t="str">
        <x:v>サービス名</x:v>
      </x:c>
      <x:c r="G3" s="16" t="str">
        <x:v>ステータス</x:v>
      </x:c>
      <x:c r="H3" s="16" t="str">
        <x:v>受注経路</x:v>
      </x:c>
    </x:row>
    <x:row r="4">
      <x:c r="A4" s="45" t="str">
        <x:v>営業1課</x:v>
      </x:c>
      <x:c r="B4" s="45" t="str">
        <x:v>佐藤太郎</x:v>
      </x:c>
      <x:c r="C4" s="45" t="str">
        <x:v>関東</x:v>
      </x:c>
      <x:c r="D4" s="45" t="str">
        <x:v>新規</x:v>
      </x:c>
      <x:c r="E4" s="45" t="str">
        <x:v>保守</x:v>
      </x:c>
      <x:c r="F4" s="45" t="str">
        <x:v>保守A</x:v>
      </x:c>
      <x:c r="G4" s="45" t="str">
        <x:v>未着手</x:v>
      </x:c>
      <x:c r="H4" s="45" t="str">
        <x:v>Web</x:v>
      </x:c>
    </x:row>
    <x:row r="5">
      <x:c r="A5" s="45" t="str">
        <x:v>営業2課</x:v>
      </x:c>
      <x:c r="B5" s="45" t="str">
        <x:v>山本直子</x:v>
      </x:c>
      <x:c r="C5" s="45" t="str">
        <x:v>中部</x:v>
      </x:c>
      <x:c r="D5" s="45" t="str">
        <x:v>既存</x:v>
      </x:c>
      <x:c r="E5" s="45" t="str">
        <x:v>導入</x:v>
      </x:c>
      <x:c r="F5" s="45" t="str">
        <x:v>導入B</x:v>
      </x:c>
      <x:c r="G5" s="45" t="str">
        <x:v>進行中</x:v>
      </x:c>
      <x:c r="H5" s="45" t="str">
        <x:v>紹介</x:v>
      </x:c>
    </x:row>
    <x:row r="6">
      <x:c r="A6" s="45" t="str">
        <x:v>技術部</x:v>
      </x:c>
      <x:c r="B6" s="45" t="str">
        <x:v>鈴木花子</x:v>
      </x:c>
      <x:c r="C6" s="45" t="str">
        <x:v>関西</x:v>
      </x:c>
      <x:c r="D6" s="45"/>
      <x:c r="E6" s="45" t="str">
        <x:v>研修</x:v>
      </x:c>
      <x:c r="F6" s="45" t="str">
        <x:v>研修C</x:v>
      </x:c>
      <x:c r="G6" s="45" t="str">
        <x:v>完了</x:v>
      </x:c>
      <x:c r="H6" s="45" t="str">
        <x:v>電話</x:v>
      </x:c>
    </x:row>
    <x:row r="7">
      <x:c r="A7" s="45"/>
      <x:c r="B7" s="45" t="str">
        <x:v>田中一郎</x:v>
      </x:c>
      <x:c r="C7" s="45"/>
      <x:c r="D7" s="45"/>
      <x:c r="E7" s="45"/>
      <x:c r="F7" s="45"/>
      <x:c r="G7" s="45"/>
      <x:c r="H7" s="45" t="str">
        <x:v>イベント</x:v>
      </x:c>
    </x:row>
    <x:row r="8">
      <x:c r="A8" s="45"/>
      <x:c r="B8" s="45" t="str">
        <x:v>高橋健</x:v>
      </x:c>
      <x:c r="C8" s="45"/>
      <x:c r="D8" s="45"/>
      <x:c r="E8" s="45"/>
      <x:c r="F8" s="45"/>
      <x:c r="G8" s="45"/>
      <x:c r="H8" s="45"/>
    </x:row>
    <x:row r="9">
      <x:c r="A9" s="45"/>
      <x:c r="B9" s="45" t="str">
        <x:v>伊藤美咲</x:v>
      </x:c>
      <x:c r="C9" s="45"/>
      <x:c r="D9" s="45"/>
      <x:c r="E9" s="45"/>
      <x:c r="F9" s="45"/>
      <x:c r="G9" s="45"/>
      <x:c r="H9" s="45"/>
    </x:row>
  </x:sheetData>
  <x:mergeCells>
    <x:mergeCell ref="A1:H1"/>
  </x:mergeCells>
  <x:pageMargins left="0.7" right="0.7" top="0.75" bottom="0.75" header="0.3" footer="0.3"/>
</x:worksheet>
</file>