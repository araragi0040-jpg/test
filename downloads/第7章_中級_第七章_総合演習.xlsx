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c4c7619a2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7cfbe4f8dd9542d4"/>
    <x:sheet xmlns:r="http://schemas.openxmlformats.org/officeDocument/2006/relationships" name="01_月次実績" sheetId="2" r:id="R13738c9294764388"/>
    <x:sheet xmlns:r="http://schemas.openxmlformats.org/officeDocument/2006/relationships" name="02_データ品質確認" sheetId="3" r:id="R84e00fca350a440d"/>
    <x:sheet xmlns:r="http://schemas.openxmlformats.org/officeDocument/2006/relationships" name="03_月別売上" sheetId="4" r:id="R0e95af7dc6884ac0"/>
    <x:sheet xmlns:r="http://schemas.openxmlformats.org/officeDocument/2006/relationships" name="04_部門別件数" sheetId="5" r:id="R93100cf652a44942"/>
    <x:sheet xmlns:r="http://schemas.openxmlformats.org/officeDocument/2006/relationships" name="05_完成見本" sheetId="6" r:id="R3f6101bff85a4d09"/>
    <x:sheet xmlns:r="http://schemas.openxmlformats.org/officeDocument/2006/relationships" name="06_月次報告_作業" sheetId="7" r:id="R8c2d466c6c544c3d"/>
    <x:sheet xmlns:r="http://schemas.openxmlformats.org/officeDocument/2006/relationships" name="07_PowerBI最終確認" sheetId="8" r:id="Ra0b4bd4209304c70"/>
    <x:sheet xmlns:r="http://schemas.openxmlformats.org/officeDocument/2006/relationships" name="08_運用引継ぎ" sheetId="9" r:id="Ree62d65eba7f4f64"/>
    <x:sheet xmlns:r="http://schemas.openxmlformats.org/officeDocument/2006/relationships" name="09_完成チェック" sheetId="10" r:id="Rd8255f0eb4bd4ecb"/>
    <x:sheet xmlns:r="http://schemas.openxmlformats.org/officeDocument/2006/relationships" name="10_提出確認" sheetId="11" r:id="Rce9cde975ef740ae"/>
    <x:sheet xmlns:r="http://schemas.openxmlformats.org/officeDocument/2006/relationships" name="99_期待値" sheetId="12" r:id="R4bdea641b406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/mm/dd"/>
    <x:numFmt numFmtId="201" formatCode="yyyy-mm"/>
    <x:numFmt numFmtId="202" formatCode="0"/>
    <x:numFmt numFmtId="203" formatCode="#,##0"/>
    <x:numFmt numFmtId="204" formatCode="#,##0&quot;円&quot;"/>
    <x:numFmt numFmtId="205" formatCode="0&quot;件&quot;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1E2A36"/>
      <x:name val="Carlito"/>
    </x:font>
    <x:font>
      <x:b/>
      <x:sz val="11"/>
      <x:color rgb="FF1E2A36"/>
      <x:name val="Carlito"/>
    </x:font>
    <x:font>
      <x:b/>
      <x:sz val="18"/>
      <x:color rgb="FF315E7D"/>
      <x:name val="Carlito"/>
    </x:font>
    <x:font>
      <x:b/>
      <x:sz val="13"/>
      <x:color rgb="FF5C6B7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315E7D"/>
      </x:patternFill>
    </x:fill>
    <x:fill>
      <x:patternFill patternType="solid">
        <x:fgColor rgb="FF3E7293"/>
      </x:patternFill>
    </x:fill>
    <x:fill>
      <x:patternFill patternType="solid">
        <x:fgColor rgb="FFFFF3CD"/>
      </x:patternFill>
    </x:fill>
    <x:fill>
      <x:patternFill patternType="solid">
        <x:fgColor rgb="FFE8F5E9"/>
      </x:patternFill>
    </x:fill>
    <x:fill>
      <x:patternFill patternType="solid">
        <x:fgColor rgb="FFEEF2F5"/>
      </x:patternFill>
    </x:fill>
    <x:fill>
      <x:patternFill patternType="solid">
        <x:fgColor rgb="FFDCEAF3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200" fontId="3" fillId="6" borderId="0" xfId="0" applyNumberFormat="1" applyFont="1" applyFill="1" applyBorder="1" applyAlignment="1">
      <x:alignment vertical="top" wrapText="1"/>
    </x:xf>
    <x:xf numFmtId="200" fontId="3" fillId="6" borderId="1" xfId="0" applyNumberFormat="1" applyFont="1" applyFill="1" applyBorder="1" applyAlignment="1">
      <x:alignment vertical="top" wrapText="1"/>
    </x:xf>
    <x:xf numFmtId="201" fontId="3" fillId="6" borderId="0" xfId="0" applyNumberFormat="1" applyFont="1" applyFill="1" applyBorder="1" applyAlignment="1">
      <x:alignment vertical="top" wrapText="1"/>
    </x:xf>
    <x:xf numFmtId="201" fontId="3" fillId="6" borderId="1" xfId="0" applyNumberFormat="1" applyFont="1" applyFill="1" applyBorder="1" applyAlignment="1">
      <x:alignment vertical="top" wrapText="1"/>
    </x:xf>
    <x:xf numFmtId="202" fontId="3" fillId="6" borderId="0" xfId="0" applyNumberFormat="1" applyFont="1" applyFill="1" applyBorder="1" applyAlignment="1">
      <x:alignment vertical="top" wrapText="1"/>
    </x:xf>
    <x:xf numFmtId="202" fontId="3" fillId="6" borderId="1" xfId="0" applyNumberFormat="1" applyFont="1" applyFill="1" applyBorder="1" applyAlignment="1">
      <x:alignment vertical="top" wrapText="1"/>
    </x:xf>
    <x:xf numFmtId="203" fontId="3" fillId="6" borderId="0" xfId="0" applyNumberFormat="1" applyFont="1" applyFill="1" applyBorder="1" applyAlignment="1">
      <x:alignment vertical="top" wrapText="1"/>
    </x:xf>
    <x:xf numFmtId="203" fontId="3" fillId="6" borderId="1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203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204" fontId="5" fillId="8" borderId="0" xfId="0" applyNumberFormat="1" applyFont="1" applyFill="1" applyBorder="1"/>
    <x:xf numFmtId="204" fontId="5" fillId="8" borderId="0" xfId="0" applyNumberFormat="1" applyFont="1" applyFill="1" applyBorder="1" applyAlignment="1">
      <x:alignment horizontal="center"/>
    </x:xf>
    <x:xf numFmtId="204" fontId="5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204" fontId="5" fillId="8" borderId="1" xfId="0" applyNumberFormat="1" applyFont="1" applyFill="1" applyBorder="1"/>
    <x:xf numFmtId="204" fontId="5" fillId="8" borderId="1" xfId="0" applyNumberFormat="1" applyFont="1" applyFill="1" applyBorder="1" applyAlignment="1">
      <x:alignment horizontal="center"/>
    </x:xf>
    <x:xf numFmtId="204" fontId="5" fillId="8" borderId="1" xfId="0" applyNumberFormat="1" applyFont="1" applyFill="1" applyBorder="1" applyAlignment="1">
      <x:alignment horizontal="center" vertical="center"/>
    </x:xf>
    <x:xf numFmtId="205" fontId="5" fillId="8" borderId="0" xfId="0" applyNumberFormat="1" applyFont="1" applyFill="1" applyBorder="1"/>
    <x:xf numFmtId="205" fontId="5" fillId="8" borderId="0" xfId="0" applyNumberFormat="1" applyFont="1" applyFill="1" applyBorder="1" applyAlignment="1">
      <x:alignment horizontal="center"/>
    </x:xf>
    <x:xf numFmtId="205" fontId="5" fillId="8" borderId="0" xfId="0" applyNumberFormat="1" applyFont="1" applyFill="1" applyBorder="1" applyAlignment="1">
      <x:alignment horizontal="center" vertical="center"/>
    </x:xf>
    <x:xf numFmtId="205" fontId="5" fillId="8" borderId="1" xfId="0" applyNumberFormat="1" applyFont="1" applyFill="1" applyBorder="1"/>
    <x:xf numFmtId="205" fontId="5" fillId="8" borderId="1" xfId="0" applyNumberFormat="1" applyFont="1" applyFill="1" applyBorder="1" applyAlignment="1">
      <x:alignment horizontal="center"/>
    </x:xf>
    <x:xf numFmtId="205" fontId="5" fillId="8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horizontal="center" wrapText="1"/>
    </x:xf>
    <x:xf numFmtId="0" fontId="6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f448f4d584210" /><Relationship Type="http://schemas.openxmlformats.org/officeDocument/2006/relationships/theme" Target="/xl/theme/theme1.xml" Id="Rc3e564c76a5544fd" /><Relationship Type="http://schemas.openxmlformats.org/officeDocument/2006/relationships/sharedStrings" Target="/xl/sharedStrings.xml" Id="Rf1fa761162194b31" /><Relationship Type="http://schemas.openxmlformats.org/officeDocument/2006/relationships/worksheet" Target="/xl/worksheets/sheet1.xml" Id="R7cfbe4f8dd9542d4" /><Relationship Type="http://schemas.openxmlformats.org/officeDocument/2006/relationships/worksheet" Target="/xl/worksheets/sheet2.xml" Id="R13738c9294764388" /><Relationship Type="http://schemas.openxmlformats.org/officeDocument/2006/relationships/worksheet" Target="/xl/worksheets/sheet3.xml" Id="R84e00fca350a440d" /><Relationship Type="http://schemas.openxmlformats.org/officeDocument/2006/relationships/worksheet" Target="/xl/worksheets/sheet4.xml" Id="R0e95af7dc6884ac0" /><Relationship Type="http://schemas.openxmlformats.org/officeDocument/2006/relationships/worksheet" Target="/xl/worksheets/sheet5.xml" Id="R93100cf652a44942" /><Relationship Type="http://schemas.openxmlformats.org/officeDocument/2006/relationships/worksheet" Target="/xl/worksheets/sheet6.xml" Id="R3f6101bff85a4d09" /><Relationship Type="http://schemas.openxmlformats.org/officeDocument/2006/relationships/worksheet" Target="/xl/worksheets/sheet7.xml" Id="R8c2d466c6c544c3d" /><Relationship Type="http://schemas.openxmlformats.org/officeDocument/2006/relationships/worksheet" Target="/xl/worksheets/sheet8.xml" Id="Ra0b4bd4209304c70" /><Relationship Type="http://schemas.openxmlformats.org/officeDocument/2006/relationships/worksheet" Target="/xl/worksheets/sheet9.xml" Id="Ree62d65eba7f4f64" /><Relationship Type="http://schemas.openxmlformats.org/officeDocument/2006/relationships/worksheet" Target="/xl/worksheets/sheet10.xml" Id="Rd8255f0eb4bd4ecb" /><Relationship Type="http://schemas.openxmlformats.org/officeDocument/2006/relationships/worksheet" Target="/xl/worksheets/sheet11.xml" Id="Rce9cde975ef740ae" /><Relationship Type="http://schemas.openxmlformats.org/officeDocument/2006/relationships/worksheet" Target="/xl/worksheets/sheet12.xml" Id="R4bdea641b4064c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683d3fb8374629" /><Relationship Type="http://schemas.openxmlformats.org/officeDocument/2006/relationships/chart" Target="/xl/drawings/charts/chart2.xml" Id="R33a54e699344452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af31f07fbb5745e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月別売上推移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売上金額</c:v>
          </c:tx>
          <c:cat>
            <c:strRef>
              <c:f>'03_月別売上'!$A$5:$A$8</c:f>
              <c:strCache>
                <c:ptCount val="0"/>
              </c:strCache>
            </c:strRef>
          </c:cat>
          <c:val>
            <c:numRef>
              <c:f>'03_月別売上'!$B$5:$B$8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部門別実績件数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実績件数</c:v>
          </c:tx>
          <c:cat>
            <c:strRef>
              <c:f>'04_部門別件数'!$A$5:$A$7</c:f>
              <c:strCache>
                <c:ptCount val="0"/>
              </c:strCache>
            </c:strRef>
          </c:cat>
          <c:val>
            <c:numRef>
              <c:f>'04_部門別件数'!$B$5:$B$7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部門別実績件数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実績件数</c:v>
          </c:tx>
          <c:cat>
            <c:strRef>
              <c:f>'04_部門別件数'!$A$5:$A$7</c:f>
              <c:strCache>
                <c:ptCount val="0"/>
              </c:strCache>
            </c:strRef>
          </c:cat>
          <c:val>
            <c:numRef>
              <c:f>'04_部門別件数'!$B$5:$B$7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683d3fb8374629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a54e699344452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f31f07fbb5745e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月次実績テーブル" displayName="月次実績テーブル" ref="A3:O27" headerRowCount="1">
  <x:tableColumns count="15">
    <x:tableColumn id="1" name="実績ID"/>
    <x:tableColumn id="2" name="実績日"/>
    <x:tableColumn id="3" name="年月"/>
    <x:tableColumn id="4" name="部門"/>
    <x:tableColumn id="5" name="担当者"/>
    <x:tableColumn id="6" name="地域"/>
    <x:tableColumn id="7" name="顧客区分"/>
    <x:tableColumn id="8" name="サービスカテゴリ"/>
    <x:tableColumn id="9" name="サービス名"/>
    <x:tableColumn id="10" name="数量"/>
    <x:tableColumn id="11" name="単価"/>
    <x:tableColumn id="12" name="売上金額"/>
    <x:tableColumn id="13" name="ステータス"/>
    <x:tableColumn id="14" name="受注経路"/>
    <x:tableColumn id="15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c84973131749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30e7ed96085e44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817b3cc769f7484f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0" hidden="0" customWidth="1"/>
    <x:col min="3" max="3" width="34" hidden="0" customWidth="1"/>
    <x:col min="4" max="4" width="28" hidden="0" customWidth="1"/>
    <x:col min="5" max="5" width="34" hidden="0" customWidth="1"/>
    <x:col min="6" max="6" width="13" hidden="0" customWidth="1"/>
  </x:cols>
  <x:sheetData>
    <x:row r="1" ht="34" customHeight="1">
      <x:c r="A1" s="6" t="str">
        <x:v>中級・第七章　総合演習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シート・操作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02_データ品質確認</x:v>
      </x:c>
      <x:c r="C5" s="24" t="str">
        <x:v>24件の最終状態を確認</x:v>
      </x:c>
      <x:c r="D5" s="24" t="str">
        <x:v>すべてOK</x:v>
      </x:c>
      <x:c r="E5" s="24" t="str">
        <x:v>不一致なら先へ進まない</x:v>
      </x:c>
      <x:c r="F5" s="24" t="str">
        <x:v>未確認</x:v>
      </x:c>
    </x:row>
    <x:row r="6">
      <x:c r="A6" s="24" t="n">
        <x:v>2</x:v>
      </x:c>
      <x:c r="B6" s="24" t="str">
        <x:v>05_完成見本</x:v>
      </x:c>
      <x:c r="C6" s="24" t="str">
        <x:v>報告シートの完成形を確認</x:v>
      </x:c>
      <x:c r="D6" s="24" t="str">
        <x:v>配置を理解</x:v>
      </x:c>
      <x:c r="E6" s="24" t="str">
        <x:v>色は完全一致不要</x:v>
      </x:c>
      <x:c r="F6" s="24" t="str">
        <x:v>未確認</x:v>
      </x:c>
    </x:row>
    <x:row r="7">
      <x:c r="A7" s="24" t="n">
        <x:v>3</x:v>
      </x:c>
      <x:c r="B7" s="24" t="str">
        <x:v>06_月次報告_作業</x:v>
      </x:c>
      <x:c r="C7" s="24" t="str">
        <x:v>月別売上グラフを追加</x:v>
      </x:c>
      <x:c r="D7" s="24" t="str">
        <x:v>2グラフ・3指標</x:v>
      </x:c>
      <x:c r="E7" s="24" t="str">
        <x:v>総計を含めない</x:v>
      </x:c>
      <x:c r="F7" s="24" t="str">
        <x:v>未確認</x:v>
      </x:c>
    </x:row>
    <x:row r="8">
      <x:c r="A8" s="24" t="n">
        <x:v>4</x:v>
      </x:c>
      <x:c r="B8" s="24" t="str">
        <x:v>Power BI Desktop</x:v>
      </x:c>
      <x:c r="C8" s="24" t="str">
        <x:v>全件・営業1課を確認</x:v>
      </x:c>
      <x:c r="D8" s="24" t="str">
        <x:v>期待値と一致</x:v>
      </x:c>
      <x:c r="E8" s="24" t="str">
        <x:v>参照先・更新を確認</x:v>
      </x:c>
      <x:c r="F8" s="24" t="str">
        <x:v>未確認</x:v>
      </x:c>
    </x:row>
    <x:row r="9">
      <x:c r="A9" s="24" t="n">
        <x:v>5</x:v>
      </x:c>
      <x:c r="B9" s="24" t="str">
        <x:v>08_運用引継ぎ</x:v>
      </x:c>
      <x:c r="C9" s="24" t="str">
        <x:v>基本情報を入力</x:v>
      </x:c>
      <x:c r="D9" s="24" t="str">
        <x:v>7工程を確認</x:v>
      </x:c>
      <x:c r="E9" s="24" t="str">
        <x:v>白紙から作らない</x:v>
      </x:c>
      <x:c r="F9" s="24" t="str">
        <x:v>未確認</x:v>
      </x:c>
    </x:row>
    <x:row r="10">
      <x:c r="A10" s="24" t="n">
        <x:v>6</x:v>
      </x:c>
      <x:c r="B10" s="24" t="str">
        <x:v>09_完成チェック</x:v>
      </x:c>
      <x:c r="C10" s="24" t="str">
        <x:v>12項目を確認</x:v>
      </x:c>
      <x:c r="D10" s="24" t="str">
        <x:v>OKまたは要確認記録</x:v>
      </x:c>
      <x:c r="E10" s="24" t="str">
        <x:v>完成箇所は作り直さない</x:v>
      </x:c>
      <x:c r="F10" s="24" t="str">
        <x:v>未確認</x:v>
      </x:c>
    </x:row>
    <x:row r="11">
      <x:c r="A11" s="24" t="n">
        <x:v>7</x:v>
      </x:c>
      <x:c r="B11" s="24" t="str">
        <x:v>10_提出確認</x:v>
      </x:c>
      <x:c r="C11" s="24" t="str">
        <x:v>5問・完成記録</x:v>
      </x:c>
      <x:c r="D11" s="24" t="str">
        <x:v>2ファイルを保存</x:v>
      </x:c>
      <x:c r="E11" s="24" t="str">
        <x:v>全件表示を確認</x:v>
      </x:c>
      <x:c r="F11" s="24" t="str">
        <x:v>未確認</x:v>
      </x:c>
    </x:row>
    <x:row r="13">
      <x:c r="A13" s="16" t="str">
        <x:v>基本情報</x:v>
      </x:c>
      <x:c r="B13" s="16" t="str">
        <x:v>入力</x:v>
      </x:c>
    </x:row>
    <x:row r="14">
      <x:c r="A14" s="24" t="str">
        <x:v>受講者名</x:v>
      </x:c>
      <x:c r="B14" s="28" t="str"/>
    </x:row>
    <x:row r="15">
      <x:c r="A15" s="24" t="str">
        <x:v>使用端末</x:v>
      </x:c>
      <x:c r="B15" s="28" t="str"/>
    </x:row>
    <x:row r="16">
      <x:c r="A16" s="24" t="str">
        <x:v>Excel保存名</x:v>
      </x:c>
      <x:c r="B16" s="28" t="str">
        <x:v>中級_第七章_総合演習_受講者名.xlsx</x:v>
      </x:c>
    </x:row>
    <x:row r="17">
      <x:c r="A17" s="24" t="str">
        <x:v>PBIX保存名</x:v>
      </x:c>
      <x:c r="B17" s="28" t="str">
        <x:v>中級_第七章_最終レポート_受講者名.pbix</x:v>
      </x:c>
    </x:row>
    <x:row r="18">
      <x:c r="A18" s="24" t="str">
        <x:v>保存場所</x:v>
      </x:c>
      <x:c r="B18" s="28" t="str"/>
    </x:row>
    <x:row r="19">
      <x:c r="A19" s="24" t="str">
        <x:v>問い合わせ先</x:v>
      </x:c>
      <x:c r="B19" s="24" t="str">
        <x:v>教材演習担当</x:v>
      </x:c>
    </x:row>
    <x:row r="21">
      <x:c r="A21" s="32" t="str">
        <x:v>優先順：データ品質 → Excel報告 → Power BI確認 → 数値照合 → 運用記録 → 保存</x:v>
      </x:c>
      <x:c r="B21" s="32"/>
      <x:c r="C21" s="32"/>
      <x:c r="D21" s="32"/>
      <x:c r="E21" s="32"/>
      <x:c r="F21" s="32"/>
    </x:row>
  </x:sheetData>
  <x:mergeCells>
    <x:mergeCell ref="A1:F2"/>
    <x:mergeCell ref="A21:F21"/>
  </x:mergeCells>
  <x:dataValidations count="1">
    <x:dataValidation type="list" sqref="F5:F11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3" hidden="0" customWidth="1"/>
    <x:col min="4" max="4" width="15" hidden="0" customWidth="1"/>
    <x:col min="5" max="5" width="18" hidden="0" customWidth="1"/>
    <x:col min="6" max="6" width="12" hidden="0" customWidth="1"/>
    <x:col min="7" max="7" width="15" hidden="0" customWidth="1"/>
    <x:col min="8" max="8" width="22" hidden="0" customWidth="1"/>
    <x:col min="9" max="9" width="18" hidden="0" customWidth="1"/>
    <x:col min="10" max="10" width="11" hidden="0" customWidth="1"/>
    <x:col min="11" max="11" width="14" hidden="0" customWidth="1"/>
    <x:col min="12" max="12" width="16" hidden="0" customWidth="1"/>
    <x:col min="13" max="13" width="15" hidden="0" customWidth="1"/>
    <x:col min="14" max="14" width="16" hidden="0" customWidth="1"/>
    <x:col min="15" max="15" width="24" hidden="0" customWidth="1"/>
  </x:cols>
  <x:sheetData>
    <x:row r="1" ht="34" customHeight="1">
      <x:c r="A1" s="6" t="str">
        <x:v>月次実績テーブル　2026年4月～7月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</x:row>
    <x:row r="3">
      <x:c r="A3" s="16" t="str">
        <x:v>実績ID</x:v>
      </x:c>
      <x:c r="B3" s="16" t="str">
        <x:v>実績日</x:v>
      </x:c>
      <x:c r="C3" s="16" t="str">
        <x:v>年月</x:v>
      </x:c>
      <x:c r="D3" s="16" t="str">
        <x:v>部門</x:v>
      </x:c>
      <x:c r="E3" s="16" t="str">
        <x:v>担当者</x:v>
      </x:c>
      <x:c r="F3" s="16" t="str">
        <x:v>地域</x:v>
      </x:c>
      <x:c r="G3" s="16" t="str">
        <x:v>顧客区分</x:v>
      </x:c>
      <x:c r="H3" s="16" t="str">
        <x:v>サービスカテゴリ</x:v>
      </x:c>
      <x:c r="I3" s="16" t="str">
        <x:v>サービス名</x:v>
      </x:c>
      <x:c r="J3" s="16" t="str">
        <x:v>数量</x:v>
      </x:c>
      <x:c r="K3" s="16" t="str">
        <x:v>単価</x:v>
      </x:c>
      <x:c r="L3" s="16" t="str">
        <x:v>売上金額</x:v>
      </x:c>
      <x:c r="M3" s="16" t="str">
        <x:v>ステータス</x:v>
      </x:c>
      <x:c r="N3" s="16" t="str">
        <x:v>受注経路</x:v>
      </x:c>
      <x:c r="O3" s="16" t="str">
        <x:v>備考</x:v>
      </x:c>
    </x:row>
    <x:row r="4">
      <x:c r="A4" s="39" t="str">
        <x:v>R0013</x:v>
      </x:c>
      <x:c r="B4" s="44" t="n">
        <x:v>46117</x:v>
      </x:c>
      <x:c r="C4" s="46" t="n">
        <x:v>46113</x:v>
      </x:c>
      <x:c r="D4" s="39" t="str">
        <x:v>営業1課</x:v>
      </x:c>
      <x:c r="E4" s="39" t="str">
        <x:v>佐藤太郎</x:v>
      </x:c>
      <x:c r="F4" s="39" t="str">
        <x:v>関東</x:v>
      </x:c>
      <x:c r="G4" s="39" t="str">
        <x:v>新規</x:v>
      </x:c>
      <x:c r="H4" s="39" t="str">
        <x:v>保守</x:v>
      </x:c>
      <x:c r="I4" s="39" t="str">
        <x:v>保守A</x:v>
      </x:c>
      <x:c r="J4" s="48" t="n">
        <x:v>1</x:v>
      </x:c>
      <x:c r="K4" s="50" t="n">
        <x:v>120000</x:v>
      </x:c>
      <x:c r="L4" s="50" t="n">
        <x:v>120000</x:v>
      </x:c>
      <x:c r="M4" s="39" t="str">
        <x:v>完了</x:v>
      </x:c>
      <x:c r="N4" s="39" t="str">
        <x:v>Web</x:v>
      </x:c>
      <x:c r="O4" s="39" t="str">
        <x:v>可視化追加</x:v>
      </x:c>
    </x:row>
    <x:row r="5">
      <x:c r="A5" s="39" t="str">
        <x:v>R0014</x:v>
      </x:c>
      <x:c r="B5" s="44" t="n">
        <x:v>46124</x:v>
      </x:c>
      <x:c r="C5" s="46" t="n">
        <x:v>46113</x:v>
      </x:c>
      <x:c r="D5" s="39" t="str">
        <x:v>営業2課</x:v>
      </x:c>
      <x:c r="E5" s="39" t="str">
        <x:v>鈴木花子</x:v>
      </x:c>
      <x:c r="F5" s="39" t="str">
        <x:v>関西</x:v>
      </x:c>
      <x:c r="G5" s="39" t="str">
        <x:v>既存</x:v>
      </x:c>
      <x:c r="H5" s="39" t="str">
        <x:v>導入</x:v>
      </x:c>
      <x:c r="I5" s="39" t="str">
        <x:v>導入B</x:v>
      </x:c>
      <x:c r="J5" s="48" t="n">
        <x:v>1</x:v>
      </x:c>
      <x:c r="K5" s="50" t="n">
        <x:v>80000</x:v>
      </x:c>
      <x:c r="L5" s="50" t="n">
        <x:v>80000</x:v>
      </x:c>
      <x:c r="M5" s="39" t="str">
        <x:v>完了</x:v>
      </x:c>
      <x:c r="N5" s="39" t="str">
        <x:v>紹介</x:v>
      </x:c>
      <x:c r="O5" s="39" t="str">
        <x:v>可視化追加</x:v>
      </x:c>
    </x:row>
    <x:row r="6">
      <x:c r="A6" s="39" t="str">
        <x:v>R0015</x:v>
      </x:c>
      <x:c r="B6" s="44" t="n">
        <x:v>46132</x:v>
      </x:c>
      <x:c r="C6" s="46" t="n">
        <x:v>46113</x:v>
      </x:c>
      <x:c r="D6" s="39" t="str">
        <x:v>技術部</x:v>
      </x:c>
      <x:c r="E6" s="39" t="str">
        <x:v>高橋健</x:v>
      </x:c>
      <x:c r="F6" s="39" t="str">
        <x:v>中部</x:v>
      </x:c>
      <x:c r="G6" s="39" t="str">
        <x:v>新規</x:v>
      </x:c>
      <x:c r="H6" s="39" t="str">
        <x:v>研修</x:v>
      </x:c>
      <x:c r="I6" s="39" t="str">
        <x:v>研修C</x:v>
      </x:c>
      <x:c r="J6" s="48" t="n">
        <x:v>2</x:v>
      </x:c>
      <x:c r="K6" s="50" t="n">
        <x:v>50000</x:v>
      </x:c>
      <x:c r="L6" s="50" t="n">
        <x:v>100000</x:v>
      </x:c>
      <x:c r="M6" s="39" t="str">
        <x:v>進行中</x:v>
      </x:c>
      <x:c r="N6" s="39" t="str">
        <x:v>電話</x:v>
      </x:c>
      <x:c r="O6" s="39" t="str">
        <x:v>可視化追加</x:v>
      </x:c>
    </x:row>
    <x:row r="7">
      <x:c r="A7" s="39" t="str">
        <x:v>R0001</x:v>
      </x:c>
      <x:c r="B7" s="44" t="n">
        <x:v>46143</x:v>
      </x:c>
      <x:c r="C7" s="46" t="n">
        <x:v>46143</x:v>
      </x:c>
      <x:c r="D7" s="39" t="str">
        <x:v>営業1課</x:v>
      </x:c>
      <x:c r="E7" s="39" t="str">
        <x:v>佐藤太郎</x:v>
      </x:c>
      <x:c r="F7" s="39" t="str">
        <x:v>関西</x:v>
      </x:c>
      <x:c r="G7" s="39" t="str">
        <x:v>新規</x:v>
      </x:c>
      <x:c r="H7" s="39" t="str">
        <x:v>保守</x:v>
      </x:c>
      <x:c r="I7" s="39" t="str">
        <x:v>保守A</x:v>
      </x:c>
      <x:c r="J7" s="48" t="n">
        <x:v>1</x:v>
      </x:c>
      <x:c r="K7" s="50" t="n">
        <x:v>120000</x:v>
      </x:c>
      <x:c r="L7" s="50" t="n">
        <x:v>120000</x:v>
      </x:c>
      <x:c r="M7" s="39" t="str">
        <x:v>完了</x:v>
      </x:c>
      <x:c r="N7" s="39" t="str">
        <x:v>Web</x:v>
      </x:c>
      <x:c r="O7" s="39" t="str"/>
    </x:row>
    <x:row r="8">
      <x:c r="A8" s="39" t="str">
        <x:v>R0002</x:v>
      </x:c>
      <x:c r="B8" s="44" t="n">
        <x:v>46144</x:v>
      </x:c>
      <x:c r="C8" s="46" t="n">
        <x:v>46143</x:v>
      </x:c>
      <x:c r="D8" s="39" t="str">
        <x:v>営業1課</x:v>
      </x:c>
      <x:c r="E8" s="39" t="str">
        <x:v>佐藤太郎</x:v>
      </x:c>
      <x:c r="F8" s="39" t="str">
        <x:v>関西</x:v>
      </x:c>
      <x:c r="G8" s="39" t="str">
        <x:v>既存</x:v>
      </x:c>
      <x:c r="H8" s="39" t="str">
        <x:v>導入</x:v>
      </x:c>
      <x:c r="I8" s="39" t="str">
        <x:v>導入B</x:v>
      </x:c>
      <x:c r="J8" s="48" t="n">
        <x:v>2</x:v>
      </x:c>
      <x:c r="K8" s="50" t="n">
        <x:v>80000</x:v>
      </x:c>
      <x:c r="L8" s="50" t="n">
        <x:v>160000</x:v>
      </x:c>
      <x:c r="M8" s="39" t="str">
        <x:v>進行中</x:v>
      </x:c>
      <x:c r="N8" s="39" t="str">
        <x:v>紹介</x:v>
      </x:c>
      <x:c r="O8" s="39" t="str"/>
    </x:row>
    <x:row r="9">
      <x:c r="A9" s="39" t="str">
        <x:v>R0003</x:v>
      </x:c>
      <x:c r="B9" s="44" t="n">
        <x:v>46145</x:v>
      </x:c>
      <x:c r="C9" s="46" t="n">
        <x:v>46143</x:v>
      </x:c>
      <x:c r="D9" s="39" t="str">
        <x:v>営業1課</x:v>
      </x:c>
      <x:c r="E9" s="39" t="str">
        <x:v>山本直子</x:v>
      </x:c>
      <x:c r="F9" s="39" t="str">
        <x:v>中部</x:v>
      </x:c>
      <x:c r="G9" s="39" t="str">
        <x:v>新規</x:v>
      </x:c>
      <x:c r="H9" s="39" t="str">
        <x:v>研修</x:v>
      </x:c>
      <x:c r="I9" s="39" t="str">
        <x:v>研修C</x:v>
      </x:c>
      <x:c r="J9" s="48" t="n">
        <x:v>3</x:v>
      </x:c>
      <x:c r="K9" s="50" t="n">
        <x:v>50000</x:v>
      </x:c>
      <x:c r="L9" s="50" t="n">
        <x:v>150000</x:v>
      </x:c>
      <x:c r="M9" s="39" t="str">
        <x:v>完了</x:v>
      </x:c>
      <x:c r="N9" s="39" t="str">
        <x:v>電話</x:v>
      </x:c>
      <x:c r="O9" s="39" t="str"/>
    </x:row>
    <x:row r="10">
      <x:c r="A10" s="39" t="str">
        <x:v>R0004</x:v>
      </x:c>
      <x:c r="B10" s="44" t="n">
        <x:v>46146</x:v>
      </x:c>
      <x:c r="C10" s="46" t="n">
        <x:v>46143</x:v>
      </x:c>
      <x:c r="D10" s="39" t="str">
        <x:v>営業1課</x:v>
      </x:c>
      <x:c r="E10" s="39" t="str">
        <x:v>山本直子</x:v>
      </x:c>
      <x:c r="F10" s="39" t="str">
        <x:v>関東</x:v>
      </x:c>
      <x:c r="G10" s="39" t="str">
        <x:v>既存</x:v>
      </x:c>
      <x:c r="H10" s="39" t="str">
        <x:v>保守</x:v>
      </x:c>
      <x:c r="I10" s="39" t="str">
        <x:v>保守A</x:v>
      </x:c>
      <x:c r="J10" s="48" t="n">
        <x:v>1</x:v>
      </x:c>
      <x:c r="K10" s="50" t="n">
        <x:v>120000</x:v>
      </x:c>
      <x:c r="L10" s="50" t="n">
        <x:v>120000</x:v>
      </x:c>
      <x:c r="M10" s="39" t="str">
        <x:v>完了</x:v>
      </x:c>
      <x:c r="N10" s="39" t="str">
        <x:v>Web</x:v>
      </x:c>
      <x:c r="O10" s="39" t="str">
        <x:v>表記確認</x:v>
      </x:c>
    </x:row>
    <x:row r="11">
      <x:c r="A11" s="39" t="str">
        <x:v>R0005</x:v>
      </x:c>
      <x:c r="B11" s="44" t="n">
        <x:v>46143</x:v>
      </x:c>
      <x:c r="C11" s="46" t="n">
        <x:v>46143</x:v>
      </x:c>
      <x:c r="D11" s="39" t="str">
        <x:v>営業2課</x:v>
      </x:c>
      <x:c r="E11" s="39" t="str">
        <x:v>鈴木花子</x:v>
      </x:c>
      <x:c r="F11" s="39" t="str">
        <x:v>関東</x:v>
      </x:c>
      <x:c r="G11" s="39" t="str">
        <x:v>新規</x:v>
      </x:c>
      <x:c r="H11" s="39" t="str">
        <x:v>導入</x:v>
      </x:c>
      <x:c r="I11" s="39" t="str">
        <x:v>導入B</x:v>
      </x:c>
      <x:c r="J11" s="48" t="n">
        <x:v>1</x:v>
      </x:c>
      <x:c r="K11" s="50" t="n">
        <x:v>80000</x:v>
      </x:c>
      <x:c r="L11" s="50" t="n">
        <x:v>80000</x:v>
      </x:c>
      <x:c r="M11" s="39" t="str">
        <x:v>完了</x:v>
      </x:c>
      <x:c r="N11" s="39" t="str">
        <x:v>紹介</x:v>
      </x:c>
      <x:c r="O11" s="39" t="str"/>
    </x:row>
    <x:row r="12">
      <x:c r="A12" s="39" t="str">
        <x:v>R0006</x:v>
      </x:c>
      <x:c r="B12" s="44" t="n">
        <x:v>46144</x:v>
      </x:c>
      <x:c r="C12" s="46" t="n">
        <x:v>46143</x:v>
      </x:c>
      <x:c r="D12" s="39" t="str">
        <x:v>営業2課</x:v>
      </x:c>
      <x:c r="E12" s="39" t="str">
        <x:v>鈴木花子</x:v>
      </x:c>
      <x:c r="F12" s="39" t="str">
        <x:v>関東</x:v>
      </x:c>
      <x:c r="G12" s="39" t="str">
        <x:v>既存</x:v>
      </x:c>
      <x:c r="H12" s="39" t="str">
        <x:v>保守</x:v>
      </x:c>
      <x:c r="I12" s="39" t="str">
        <x:v>保守A</x:v>
      </x:c>
      <x:c r="J12" s="48" t="n">
        <x:v>2</x:v>
      </x:c>
      <x:c r="K12" s="50" t="n">
        <x:v>120000</x:v>
      </x:c>
      <x:c r="L12" s="50" t="n">
        <x:v>240000</x:v>
      </x:c>
      <x:c r="M12" s="39" t="str">
        <x:v>完了</x:v>
      </x:c>
      <x:c r="N12" s="39" t="str">
        <x:v>Web</x:v>
      </x:c>
      <x:c r="O12" s="39" t="str"/>
    </x:row>
    <x:row r="13">
      <x:c r="A13" s="39" t="str">
        <x:v>R0007</x:v>
      </x:c>
      <x:c r="B13" s="44" t="n">
        <x:v>46147</x:v>
      </x:c>
      <x:c r="C13" s="46" t="n">
        <x:v>46143</x:v>
      </x:c>
      <x:c r="D13" s="39" t="str">
        <x:v>営業2課</x:v>
      </x:c>
      <x:c r="E13" s="39" t="str">
        <x:v>田中一郎</x:v>
      </x:c>
      <x:c r="F13" s="39" t="str">
        <x:v>関西</x:v>
      </x:c>
      <x:c r="G13" s="39" t="str">
        <x:v>新規</x:v>
      </x:c>
      <x:c r="H13" s="39" t="str">
        <x:v>研修</x:v>
      </x:c>
      <x:c r="I13" s="39" t="str">
        <x:v>研修C</x:v>
      </x:c>
      <x:c r="J13" s="48" t="n">
        <x:v>2</x:v>
      </x:c>
      <x:c r="K13" s="50" t="n">
        <x:v>50000</x:v>
      </x:c>
      <x:c r="L13" s="50" t="n">
        <x:v>100000</x:v>
      </x:c>
      <x:c r="M13" s="39" t="str">
        <x:v>進行中</x:v>
      </x:c>
      <x:c r="N13" s="39" t="str">
        <x:v>イベント</x:v>
      </x:c>
      <x:c r="O13" s="39" t="str"/>
    </x:row>
    <x:row r="14">
      <x:c r="A14" s="39" t="str">
        <x:v>R0008</x:v>
      </x:c>
      <x:c r="B14" s="44" t="n">
        <x:v>46148</x:v>
      </x:c>
      <x:c r="C14" s="46" t="n">
        <x:v>46143</x:v>
      </x:c>
      <x:c r="D14" s="39" t="str">
        <x:v>営業2課</x:v>
      </x:c>
      <x:c r="E14" s="39" t="str">
        <x:v>田中一郎</x:v>
      </x:c>
      <x:c r="F14" s="39" t="str">
        <x:v>中部</x:v>
      </x:c>
      <x:c r="G14" s="39" t="str">
        <x:v>既存</x:v>
      </x:c>
      <x:c r="H14" s="39" t="str">
        <x:v>導入</x:v>
      </x:c>
      <x:c r="I14" s="39" t="str">
        <x:v>導入B</x:v>
      </x:c>
      <x:c r="J14" s="48" t="n">
        <x:v>3</x:v>
      </x:c>
      <x:c r="K14" s="50" t="n">
        <x:v>80000</x:v>
      </x:c>
      <x:c r="L14" s="50" t="n">
        <x:v>240000</x:v>
      </x:c>
      <x:c r="M14" s="39" t="str">
        <x:v>完了</x:v>
      </x:c>
      <x:c r="N14" s="39" t="str">
        <x:v>電話</x:v>
      </x:c>
      <x:c r="O14" s="39" t="str"/>
    </x:row>
    <x:row r="15">
      <x:c r="A15" s="39" t="str">
        <x:v>R0009</x:v>
      </x:c>
      <x:c r="B15" s="44" t="n">
        <x:v>46144</x:v>
      </x:c>
      <x:c r="C15" s="46" t="n">
        <x:v>46143</x:v>
      </x:c>
      <x:c r="D15" s="39" t="str">
        <x:v>技術部</x:v>
      </x:c>
      <x:c r="E15" s="39" t="str">
        <x:v>高橋健</x:v>
      </x:c>
      <x:c r="F15" s="39" t="str">
        <x:v>関西</x:v>
      </x:c>
      <x:c r="G15" s="39" t="str">
        <x:v>既存</x:v>
      </x:c>
      <x:c r="H15" s="39" t="str">
        <x:v>保守</x:v>
      </x:c>
      <x:c r="I15" s="39" t="str">
        <x:v>保守A</x:v>
      </x:c>
      <x:c r="J15" s="48" t="n">
        <x:v>1</x:v>
      </x:c>
      <x:c r="K15" s="50" t="n">
        <x:v>120000</x:v>
      </x:c>
      <x:c r="L15" s="50" t="n">
        <x:v>120000</x:v>
      </x:c>
      <x:c r="M15" s="39" t="str">
        <x:v>完了</x:v>
      </x:c>
      <x:c r="N15" s="39" t="str">
        <x:v>紹介</x:v>
      </x:c>
      <x:c r="O15" s="39" t="str"/>
    </x:row>
    <x:row r="16">
      <x:c r="A16" s="39" t="str">
        <x:v>R0010</x:v>
      </x:c>
      <x:c r="B16" s="44" t="n">
        <x:v>46145</x:v>
      </x:c>
      <x:c r="C16" s="46" t="n">
        <x:v>46143</x:v>
      </x:c>
      <x:c r="D16" s="39" t="str">
        <x:v>技術部</x:v>
      </x:c>
      <x:c r="E16" s="39" t="str">
        <x:v>高橋健</x:v>
      </x:c>
      <x:c r="F16" s="39" t="str">
        <x:v>関東</x:v>
      </x:c>
      <x:c r="G16" s="39" t="str">
        <x:v>新規</x:v>
      </x:c>
      <x:c r="H16" s="39" t="str">
        <x:v>導入</x:v>
      </x:c>
      <x:c r="I16" s="39" t="str">
        <x:v>導入B</x:v>
      </x:c>
      <x:c r="J16" s="48" t="n">
        <x:v>2</x:v>
      </x:c>
      <x:c r="K16" s="50" t="n">
        <x:v>80000</x:v>
      </x:c>
      <x:c r="L16" s="50" t="n">
        <x:v>160000</x:v>
      </x:c>
      <x:c r="M16" s="39" t="str">
        <x:v>進行中</x:v>
      </x:c>
      <x:c r="N16" s="39" t="str">
        <x:v>Web</x:v>
      </x:c>
      <x:c r="O16" s="39" t="str"/>
    </x:row>
    <x:row r="17">
      <x:c r="A17" s="39" t="str">
        <x:v>R0011</x:v>
      </x:c>
      <x:c r="B17" s="44" t="n">
        <x:v>46149</x:v>
      </x:c>
      <x:c r="C17" s="46" t="n">
        <x:v>46143</x:v>
      </x:c>
      <x:c r="D17" s="39" t="str">
        <x:v>技術部</x:v>
      </x:c>
      <x:c r="E17" s="39" t="str">
        <x:v>伊藤美咲</x:v>
      </x:c>
      <x:c r="F17" s="39" t="str">
        <x:v>中部</x:v>
      </x:c>
      <x:c r="G17" s="39" t="str">
        <x:v>既存</x:v>
      </x:c>
      <x:c r="H17" s="39" t="str">
        <x:v>研修</x:v>
      </x:c>
      <x:c r="I17" s="39" t="str">
        <x:v>研修C</x:v>
      </x:c>
      <x:c r="J17" s="48" t="n">
        <x:v>1</x:v>
      </x:c>
      <x:c r="K17" s="50" t="n">
        <x:v>50000</x:v>
      </x:c>
      <x:c r="L17" s="50" t="n">
        <x:v>50000</x:v>
      </x:c>
      <x:c r="M17" s="39" t="str">
        <x:v>完了</x:v>
      </x:c>
      <x:c r="N17" s="39" t="str">
        <x:v>イベント</x:v>
      </x:c>
      <x:c r="O17" s="39" t="str"/>
    </x:row>
    <x:row r="18">
      <x:c r="A18" s="39" t="str">
        <x:v>R0012</x:v>
      </x:c>
      <x:c r="B18" s="44" t="n">
        <x:v>46150</x:v>
      </x:c>
      <x:c r="C18" s="46" t="n">
        <x:v>46143</x:v>
      </x:c>
      <x:c r="D18" s="39" t="str">
        <x:v>技術部</x:v>
      </x:c>
      <x:c r="E18" s="39" t="str">
        <x:v>伊藤美咲</x:v>
      </x:c>
      <x:c r="F18" s="39" t="str">
        <x:v>関西</x:v>
      </x:c>
      <x:c r="G18" s="39" t="str">
        <x:v>新規</x:v>
      </x:c>
      <x:c r="H18" s="39" t="str">
        <x:v>保守</x:v>
      </x:c>
      <x:c r="I18" s="39" t="str">
        <x:v>保守A</x:v>
      </x:c>
      <x:c r="J18" s="48" t="n">
        <x:v>2</x:v>
      </x:c>
      <x:c r="K18" s="50" t="n">
        <x:v>120000</x:v>
      </x:c>
      <x:c r="L18" s="50" t="n">
        <x:v>240000</x:v>
      </x:c>
      <x:c r="M18" s="39" t="str">
        <x:v>完了</x:v>
      </x:c>
      <x:c r="N18" s="39" t="str">
        <x:v>電話</x:v>
      </x:c>
      <x:c r="O18" s="39" t="str"/>
    </x:row>
    <x:row r="19">
      <x:c r="A19" s="39" t="str">
        <x:v>R0016</x:v>
      </x:c>
      <x:c r="B19" s="44" t="n">
        <x:v>46176</x:v>
      </x:c>
      <x:c r="C19" s="46" t="n">
        <x:v>46174</x:v>
      </x:c>
      <x:c r="D19" s="39" t="str">
        <x:v>営業1課</x:v>
      </x:c>
      <x:c r="E19" s="39" t="str">
        <x:v>山本直子</x:v>
      </x:c>
      <x:c r="F19" s="39" t="str">
        <x:v>関西</x:v>
      </x:c>
      <x:c r="G19" s="39" t="str">
        <x:v>既存</x:v>
      </x:c>
      <x:c r="H19" s="39" t="str">
        <x:v>保守</x:v>
      </x:c>
      <x:c r="I19" s="39" t="str">
        <x:v>保守A</x:v>
      </x:c>
      <x:c r="J19" s="48" t="n">
        <x:v>1</x:v>
      </x:c>
      <x:c r="K19" s="50" t="n">
        <x:v>120000</x:v>
      </x:c>
      <x:c r="L19" s="50" t="n">
        <x:v>120000</x:v>
      </x:c>
      <x:c r="M19" s="39" t="str">
        <x:v>完了</x:v>
      </x:c>
      <x:c r="N19" s="39" t="str">
        <x:v>紹介</x:v>
      </x:c>
      <x:c r="O19" s="39" t="str">
        <x:v>可視化追加</x:v>
      </x:c>
    </x:row>
    <x:row r="20">
      <x:c r="A20" s="39" t="str">
        <x:v>R0017</x:v>
      </x:c>
      <x:c r="B20" s="44" t="n">
        <x:v>46183</x:v>
      </x:c>
      <x:c r="C20" s="46" t="n">
        <x:v>46174</x:v>
      </x:c>
      <x:c r="D20" s="39" t="str">
        <x:v>営業2課</x:v>
      </x:c>
      <x:c r="E20" s="39" t="str">
        <x:v>田中一郎</x:v>
      </x:c>
      <x:c r="F20" s="39" t="str">
        <x:v>関東</x:v>
      </x:c>
      <x:c r="G20" s="39" t="str">
        <x:v>新規</x:v>
      </x:c>
      <x:c r="H20" s="39" t="str">
        <x:v>導入</x:v>
      </x:c>
      <x:c r="I20" s="39" t="str">
        <x:v>導入B</x:v>
      </x:c>
      <x:c r="J20" s="48" t="n">
        <x:v>2</x:v>
      </x:c>
      <x:c r="K20" s="50" t="n">
        <x:v>80000</x:v>
      </x:c>
      <x:c r="L20" s="50" t="n">
        <x:v>160000</x:v>
      </x:c>
      <x:c r="M20" s="39" t="str">
        <x:v>進行中</x:v>
      </x:c>
      <x:c r="N20" s="39" t="str">
        <x:v>Web</x:v>
      </x:c>
      <x:c r="O20" s="39" t="str">
        <x:v>可視化追加</x:v>
      </x:c>
    </x:row>
    <x:row r="21">
      <x:c r="A21" s="39" t="str">
        <x:v>R0018</x:v>
      </x:c>
      <x:c r="B21" s="44" t="n">
        <x:v>46191</x:v>
      </x:c>
      <x:c r="C21" s="46" t="n">
        <x:v>46174</x:v>
      </x:c>
      <x:c r="D21" s="39" t="str">
        <x:v>技術部</x:v>
      </x:c>
      <x:c r="E21" s="39" t="str">
        <x:v>伊藤美咲</x:v>
      </x:c>
      <x:c r="F21" s="39" t="str">
        <x:v>中部</x:v>
      </x:c>
      <x:c r="G21" s="39" t="str">
        <x:v>既存</x:v>
      </x:c>
      <x:c r="H21" s="39" t="str">
        <x:v>研修</x:v>
      </x:c>
      <x:c r="I21" s="39" t="str">
        <x:v>研修C</x:v>
      </x:c>
      <x:c r="J21" s="48" t="n">
        <x:v>1</x:v>
      </x:c>
      <x:c r="K21" s="50" t="n">
        <x:v>50000</x:v>
      </x:c>
      <x:c r="L21" s="50" t="n">
        <x:v>50000</x:v>
      </x:c>
      <x:c r="M21" s="39" t="str">
        <x:v>完了</x:v>
      </x:c>
      <x:c r="N21" s="39" t="str">
        <x:v>イベント</x:v>
      </x:c>
      <x:c r="O21" s="39" t="str">
        <x:v>可視化追加</x:v>
      </x:c>
    </x:row>
    <x:row r="22">
      <x:c r="A22" s="39" t="str">
        <x:v>R0019</x:v>
      </x:c>
      <x:c r="B22" s="44" t="n">
        <x:v>46205</x:v>
      </x:c>
      <x:c r="C22" s="46" t="n">
        <x:v>46204</x:v>
      </x:c>
      <x:c r="D22" s="39" t="str">
        <x:v>営業1課</x:v>
      </x:c>
      <x:c r="E22" s="39" t="str">
        <x:v>佐藤太郎</x:v>
      </x:c>
      <x:c r="F22" s="39" t="str">
        <x:v>関東</x:v>
      </x:c>
      <x:c r="G22" s="39" t="str">
        <x:v>新規</x:v>
      </x:c>
      <x:c r="H22" s="39" t="str">
        <x:v>保守</x:v>
      </x:c>
      <x:c r="I22" s="39" t="str">
        <x:v>保守A</x:v>
      </x:c>
      <x:c r="J22" s="48" t="n">
        <x:v>1</x:v>
      </x:c>
      <x:c r="K22" s="50" t="n">
        <x:v>120000</x:v>
      </x:c>
      <x:c r="L22" s="50" t="n">
        <x:v>120000</x:v>
      </x:c>
      <x:c r="M22" s="39" t="str">
        <x:v>完了</x:v>
      </x:c>
      <x:c r="N22" s="39" t="str">
        <x:v>Web</x:v>
      </x:c>
      <x:c r="O22" s="39" t="str">
        <x:v>7月更新</x:v>
      </x:c>
    </x:row>
    <x:row r="23">
      <x:c r="A23" s="39" t="str">
        <x:v>R0020</x:v>
      </x:c>
      <x:c r="B23" s="44" t="n">
        <x:v>46208</x:v>
      </x:c>
      <x:c r="C23" s="46" t="n">
        <x:v>46204</x:v>
      </x:c>
      <x:c r="D23" s="39" t="str">
        <x:v>営業1課</x:v>
      </x:c>
      <x:c r="E23" s="39" t="str">
        <x:v>山本直子</x:v>
      </x:c>
      <x:c r="F23" s="39" t="str">
        <x:v>関西</x:v>
      </x:c>
      <x:c r="G23" s="39" t="str">
        <x:v>既存</x:v>
      </x:c>
      <x:c r="H23" s="39" t="str">
        <x:v>導入</x:v>
      </x:c>
      <x:c r="I23" s="39" t="str">
        <x:v>導入B</x:v>
      </x:c>
      <x:c r="J23" s="48" t="n">
        <x:v>2</x:v>
      </x:c>
      <x:c r="K23" s="50" t="n">
        <x:v>80000</x:v>
      </x:c>
      <x:c r="L23" s="50" t="n">
        <x:v>160000</x:v>
      </x:c>
      <x:c r="M23" s="39" t="str">
        <x:v>進行中</x:v>
      </x:c>
      <x:c r="N23" s="39" t="str">
        <x:v>紹介</x:v>
      </x:c>
      <x:c r="O23" s="39" t="str">
        <x:v>7月更新</x:v>
      </x:c>
    </x:row>
    <x:row r="24">
      <x:c r="A24" s="39" t="str">
        <x:v>R0021</x:v>
      </x:c>
      <x:c r="B24" s="44" t="n">
        <x:v>46211</x:v>
      </x:c>
      <x:c r="C24" s="46" t="n">
        <x:v>46204</x:v>
      </x:c>
      <x:c r="D24" s="39" t="str">
        <x:v>営業2課</x:v>
      </x:c>
      <x:c r="E24" s="39" t="str">
        <x:v>鈴木花子</x:v>
      </x:c>
      <x:c r="F24" s="39" t="str">
        <x:v>中部</x:v>
      </x:c>
      <x:c r="G24" s="39" t="str">
        <x:v>新規</x:v>
      </x:c>
      <x:c r="H24" s="39" t="str">
        <x:v>研修</x:v>
      </x:c>
      <x:c r="I24" s="39" t="str">
        <x:v>研修C</x:v>
      </x:c>
      <x:c r="J24" s="48" t="n">
        <x:v>1</x:v>
      </x:c>
      <x:c r="K24" s="50" t="n">
        <x:v>50000</x:v>
      </x:c>
      <x:c r="L24" s="50" t="n">
        <x:v>50000</x:v>
      </x:c>
      <x:c r="M24" s="39" t="str">
        <x:v>完了</x:v>
      </x:c>
      <x:c r="N24" s="39" t="str">
        <x:v>電話</x:v>
      </x:c>
      <x:c r="O24" s="39" t="str">
        <x:v>7月更新</x:v>
      </x:c>
    </x:row>
    <x:row r="25">
      <x:c r="A25" s="39" t="str">
        <x:v>R0022</x:v>
      </x:c>
      <x:c r="B25" s="44" t="n">
        <x:v>46215</x:v>
      </x:c>
      <x:c r="C25" s="46" t="n">
        <x:v>46204</x:v>
      </x:c>
      <x:c r="D25" s="39" t="str">
        <x:v>営業2課</x:v>
      </x:c>
      <x:c r="E25" s="39" t="str">
        <x:v>田中一郎</x:v>
      </x:c>
      <x:c r="F25" s="39" t="str">
        <x:v>関東</x:v>
      </x:c>
      <x:c r="G25" s="39" t="str">
        <x:v>既存</x:v>
      </x:c>
      <x:c r="H25" s="39" t="str">
        <x:v>保守</x:v>
      </x:c>
      <x:c r="I25" s="39" t="str">
        <x:v>保守A</x:v>
      </x:c>
      <x:c r="J25" s="48" t="n">
        <x:v>2</x:v>
      </x:c>
      <x:c r="K25" s="50" t="n">
        <x:v>120000</x:v>
      </x:c>
      <x:c r="L25" s="50" t="n">
        <x:v>240000</x:v>
      </x:c>
      <x:c r="M25" s="39" t="str">
        <x:v>完了</x:v>
      </x:c>
      <x:c r="N25" s="39" t="str">
        <x:v>Web</x:v>
      </x:c>
      <x:c r="O25" s="39" t="str">
        <x:v>7月更新</x:v>
      </x:c>
    </x:row>
    <x:row r="26">
      <x:c r="A26" s="39" t="str">
        <x:v>R0023</x:v>
      </x:c>
      <x:c r="B26" s="44" t="n">
        <x:v>46219</x:v>
      </x:c>
      <x:c r="C26" s="46" t="n">
        <x:v>46204</x:v>
      </x:c>
      <x:c r="D26" s="39" t="str">
        <x:v>技術部</x:v>
      </x:c>
      <x:c r="E26" s="39" t="str">
        <x:v>高橋健</x:v>
      </x:c>
      <x:c r="F26" s="39" t="str">
        <x:v>関西</x:v>
      </x:c>
      <x:c r="G26" s="39" t="str">
        <x:v>新規</x:v>
      </x:c>
      <x:c r="H26" s="39" t="str">
        <x:v>導入</x:v>
      </x:c>
      <x:c r="I26" s="39" t="str">
        <x:v>導入B</x:v>
      </x:c>
      <x:c r="J26" s="48" t="n">
        <x:v>1</x:v>
      </x:c>
      <x:c r="K26" s="50" t="n">
        <x:v>80000</x:v>
      </x:c>
      <x:c r="L26" s="50" t="n">
        <x:v>80000</x:v>
      </x:c>
      <x:c r="M26" s="39" t="str">
        <x:v>進行中</x:v>
      </x:c>
      <x:c r="N26" s="39" t="str">
        <x:v>イベント</x:v>
      </x:c>
      <x:c r="O26" s="39" t="str">
        <x:v>7月更新</x:v>
      </x:c>
    </x:row>
    <x:row r="27">
      <x:c r="A27" s="39" t="str">
        <x:v>R0024</x:v>
      </x:c>
      <x:c r="B27" s="44" t="n">
        <x:v>46223</x:v>
      </x:c>
      <x:c r="C27" s="46" t="n">
        <x:v>46204</x:v>
      </x:c>
      <x:c r="D27" s="39" t="str">
        <x:v>技術部</x:v>
      </x:c>
      <x:c r="E27" s="39" t="str">
        <x:v>伊藤美咲</x:v>
      </x:c>
      <x:c r="F27" s="39" t="str">
        <x:v>中部</x:v>
      </x:c>
      <x:c r="G27" s="39" t="str">
        <x:v>既存</x:v>
      </x:c>
      <x:c r="H27" s="39" t="str">
        <x:v>研修</x:v>
      </x:c>
      <x:c r="I27" s="39" t="str">
        <x:v>研修C</x:v>
      </x:c>
      <x:c r="J27" s="48" t="n">
        <x:v>2</x:v>
      </x:c>
      <x:c r="K27" s="50" t="n">
        <x:v>50000</x:v>
      </x:c>
      <x:c r="L27" s="50" t="n">
        <x:v>100000</x:v>
      </x:c>
      <x:c r="M27" s="39" t="str">
        <x:v>完了</x:v>
      </x:c>
      <x:c r="N27" s="39" t="str">
        <x:v>紹介</x:v>
      </x:c>
      <x:c r="O27" s="39" t="str">
        <x:v>7月更新</x:v>
      </x:c>
    </x:row>
  </x:sheetData>
  <x:mergeCells>
    <x:mergeCell ref="A1:O2"/>
  </x:mergeCells>
  <x:pageMargins left="0.7" right="0.7" top="0.75" bottom="0.75" header="0.3" footer="0.3"/>
  <x:tableParts count="1">
    <x:tablePart xmlns:r="http://schemas.openxmlformats.org/officeDocument/2006/relationships" r:id="R3dc84973131749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14" hidden="0" customWidth="1"/>
    <x:col min="5" max="5" width="30" hidden="0" customWidth="1"/>
    <x:col min="6" max="6" width="4" hidden="0" customWidth="1"/>
    <x:col min="7" max="7" width="18" hidden="0" customWidth="1"/>
    <x:col min="8" max="8" width="18" hidden="0" customWidth="1"/>
  </x:cols>
  <x:sheetData>
    <x:row r="1" ht="34" customHeight="1">
      <x:c r="A1" s="6" t="str">
        <x:v>最終データの品質確認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確認項目</x:v>
      </x:c>
      <x:c r="B4" s="16" t="str">
        <x:v>現在値</x:v>
      </x:c>
      <x:c r="C4" s="16" t="str">
        <x:v>期待値</x:v>
      </x:c>
      <x:c r="D4" s="16" t="str">
        <x:v>判定</x:v>
      </x:c>
      <x:c r="E4" s="16" t="str">
        <x:v>補足</x:v>
      </x:c>
      <x:c r="G4" s="16" t="str">
        <x:v>実績ID</x:v>
      </x:c>
      <x:c r="H4" s="16" t="str">
        <x:v>同一ID件数</x:v>
      </x:c>
    </x:row>
    <x:row r="5">
      <x:c r="A5" s="24" t="str">
        <x:v>列数</x:v>
      </x:c>
      <x:c r="B5" s="24" t="n">
        <x:f>COUNTA('01_月次実績'!A3:O3)</x:f>
        <x:v>15</x:v>
      </x:c>
      <x:c r="C5" s="24" t="n">
        <x:v>15</x:v>
      </x:c>
      <x:c r="D5" s="24" t="str">
        <x:f>IF(B5=C5,"OK","要確認")</x:f>
        <x:v>OK</x:v>
      </x:c>
      <x:c r="E5" s="24" t="str">
        <x:v>共通フォーマット</x:v>
      </x:c>
      <x:c r="G5" s="39" t="str">
        <x:f>'01_月次実績'!A4</x:f>
        <x:v>R0013</x:v>
      </x:c>
      <x:c r="H5" s="39" t="n">
        <x:f>COUNTIF('01_月次実績'!$A$4:$A$27,G5)</x:f>
        <x:v>1</x:v>
      </x:c>
    </x:row>
    <x:row r="6">
      <x:c r="A6" s="24" t="str">
        <x:v>明細件数</x:v>
      </x:c>
      <x:c r="B6" s="24" t="n">
        <x:f>COUNTA('01_月次実績'!A4:A27)</x:f>
        <x:v>24</x:v>
      </x:c>
      <x:c r="C6" s="24" t="n">
        <x:v>24</x:v>
      </x:c>
      <x:c r="D6" s="24" t="str">
        <x:f>IF(B6=C6,"OK","要確認")</x:f>
        <x:v>OK</x:v>
      </x:c>
      <x:c r="E6" s="24" t="str">
        <x:v>実績IDの件数</x:v>
      </x:c>
      <x:c r="G6" s="39" t="str">
        <x:f>'01_月次実績'!A5</x:f>
        <x:v>R0014</x:v>
      </x:c>
      <x:c r="H6" s="39" t="n">
        <x:f>COUNTIF('01_月次実績'!$A$4:$A$27,G6)</x:f>
        <x:v>1</x:v>
      </x:c>
    </x:row>
    <x:row r="7">
      <x:c r="A7" s="24" t="str">
        <x:v>売上合計</x:v>
      </x:c>
      <x:c r="B7" s="52" t="n">
        <x:f>SUM('01_月次実績'!L4:L27)</x:f>
        <x:v>3160000</x:v>
      </x:c>
      <x:c r="C7" s="52" t="n">
        <x:v>3160000</x:v>
      </x:c>
      <x:c r="D7" s="24" t="str">
        <x:f>IF(B7=C7,"OK","要確認")</x:f>
        <x:v>OK</x:v>
      </x:c>
      <x:c r="E7" s="24" t="str">
        <x:v>売上金額の合計</x:v>
      </x:c>
      <x:c r="G7" s="39" t="str">
        <x:f>'01_月次実績'!A6</x:f>
        <x:v>R0015</x:v>
      </x:c>
      <x:c r="H7" s="39" t="n">
        <x:f>COUNTIF('01_月次実績'!$A$4:$A$27,G7)</x:f>
        <x:v>1</x:v>
      </x:c>
    </x:row>
    <x:row r="8">
      <x:c r="A8" s="24" t="str">
        <x:v>完了件数</x:v>
      </x:c>
      <x:c r="B8" s="24" t="n">
        <x:f>COUNTIF('01_月次実績'!M4:M27,"完了")</x:f>
        <x:v>17</x:v>
      </x:c>
      <x:c r="C8" s="24" t="n">
        <x:v>17</x:v>
      </x:c>
      <x:c r="D8" s="24" t="str">
        <x:f>IF(B8=C8,"OK","要確認")</x:f>
        <x:v>OK</x:v>
      </x:c>
      <x:c r="E8" s="24" t="str">
        <x:v>ステータス＝完了</x:v>
      </x:c>
      <x:c r="G8" s="39" t="str">
        <x:f>'01_月次実績'!A7</x:f>
        <x:v>R0001</x:v>
      </x:c>
      <x:c r="H8" s="39" t="n">
        <x:f>COUNTIF('01_月次実績'!$A$4:$A$27,G8)</x:f>
        <x:v>1</x:v>
      </x:c>
    </x:row>
    <x:row r="9">
      <x:c r="A9" s="24" t="str">
        <x:v>進行中件数</x:v>
      </x:c>
      <x:c r="B9" s="24" t="n">
        <x:f>COUNTIF('01_月次実績'!M4:M27,"進行中")</x:f>
        <x:v>7</x:v>
      </x:c>
      <x:c r="C9" s="24" t="n">
        <x:v>7</x:v>
      </x:c>
      <x:c r="D9" s="24" t="str">
        <x:f>IF(B9=C9,"OK","要確認")</x:f>
        <x:v>OK</x:v>
      </x:c>
      <x:c r="E9" s="24" t="str">
        <x:v>ステータス＝進行中</x:v>
      </x:c>
      <x:c r="G9" s="39" t="str">
        <x:f>'01_月次実績'!A8</x:f>
        <x:v>R0002</x:v>
      </x:c>
      <x:c r="H9" s="39" t="n">
        <x:f>COUNTIF('01_月次実績'!$A$4:$A$27,G9)</x:f>
        <x:v>1</x:v>
      </x:c>
    </x:row>
    <x:row r="10">
      <x:c r="A10" s="24" t="str">
        <x:v>最新年月</x:v>
      </x:c>
      <x:c r="B10" s="54" t="n">
        <x:f>MAX('01_月次実績'!C4:C27)</x:f>
        <x:v>46204</x:v>
      </x:c>
      <x:c r="C10" s="54" t="n">
        <x:v>46204</x:v>
      </x:c>
      <x:c r="D10" s="24" t="str">
        <x:f>IF(B10=C10,"OK","要確認")</x:f>
        <x:v>OK</x:v>
      </x:c>
      <x:c r="E10" s="24" t="str">
        <x:v>2026-07</x:v>
      </x:c>
      <x:c r="G10" s="39" t="str">
        <x:f>'01_月次実績'!A9</x:f>
        <x:v>R0003</x:v>
      </x:c>
      <x:c r="H10" s="39" t="n">
        <x:f>COUNTIF('01_月次実績'!$A$4:$A$27,G10)</x:f>
        <x:v>1</x:v>
      </x:c>
    </x:row>
    <x:row r="11">
      <x:c r="A11" s="24" t="str">
        <x:v>実績ID最大</x:v>
      </x:c>
      <x:c r="B11" s="24" t="str">
        <x:f>INDEX('01_月次実績'!A4:A27,COUNTA('01_月次実績'!A4:A27))</x:f>
        <x:v>R0024</x:v>
      </x:c>
      <x:c r="C11" s="24" t="str">
        <x:v>R0024</x:v>
      </x:c>
      <x:c r="D11" s="24" t="str">
        <x:f>IF(B11=C11,"OK","要確認")</x:f>
        <x:v>OK</x:v>
      </x:c>
      <x:c r="E11" s="24" t="str">
        <x:v>最終ID</x:v>
      </x:c>
      <x:c r="G11" s="39" t="str">
        <x:f>'01_月次実績'!A10</x:f>
        <x:v>R0004</x:v>
      </x:c>
      <x:c r="H11" s="39" t="n">
        <x:f>COUNTIF('01_月次実績'!$A$4:$A$27,G11)</x:f>
        <x:v>1</x:v>
      </x:c>
    </x:row>
    <x:row r="12">
      <x:c r="A12" s="24" t="str">
        <x:v>ID空欄</x:v>
      </x:c>
      <x:c r="B12" s="24" t="n">
        <x:f>COUNTBLANK('01_月次実績'!A4:A27)</x:f>
        <x:v>0</x:v>
      </x:c>
      <x:c r="C12" s="24" t="n">
        <x:v>0</x:v>
      </x:c>
      <x:c r="D12" s="24" t="str">
        <x:f>IF(B12=C12,"OK","要確認")</x:f>
        <x:v>OK</x:v>
      </x:c>
      <x:c r="E12" s="24" t="str">
        <x:v>0でOK</x:v>
      </x:c>
      <x:c r="G12" s="39" t="str">
        <x:f>'01_月次実績'!A11</x:f>
        <x:v>R0005</x:v>
      </x:c>
      <x:c r="H12" s="39" t="n">
        <x:f>COUNTIF('01_月次実績'!$A$4:$A$27,G12)</x:f>
        <x:v>1</x:v>
      </x:c>
    </x:row>
    <x:row r="13">
      <x:c r="A13" s="24" t="str">
        <x:v>数量×単価の不一致</x:v>
      </x:c>
      <x:c r="B13" s="24" t="n">
        <x:f>SUMPRODUCT(--('01_月次実績'!J4:J27*'01_月次実績'!K4:K27&lt;&gt;'01_月次実績'!L4:L27))</x:f>
        <x:v>0</x:v>
      </x:c>
      <x:c r="C13" s="24" t="n">
        <x:v>0</x:v>
      </x:c>
      <x:c r="D13" s="24" t="str">
        <x:f>IF(B13=C13,"OK","要確認")</x:f>
        <x:v>OK</x:v>
      </x:c>
      <x:c r="E13" s="24" t="str">
        <x:v>0でOK</x:v>
      </x:c>
      <x:c r="G13" s="39" t="str">
        <x:f>'01_月次実績'!A12</x:f>
        <x:v>R0006</x:v>
      </x:c>
      <x:c r="H13" s="39" t="n">
        <x:f>COUNTIF('01_月次実績'!$A$4:$A$27,G13)</x:f>
        <x:v>1</x:v>
      </x:c>
    </x:row>
    <x:row r="14">
      <x:c r="A14" s="24" t="str">
        <x:v>重複ID行数</x:v>
      </x:c>
      <x:c r="B14" s="24" t="n">
        <x:f>COUNTIF(G5:G28,"&gt;1")</x:f>
        <x:v>0</x:v>
      </x:c>
      <x:c r="C14" s="24" t="n">
        <x:v>0</x:v>
      </x:c>
      <x:c r="D14" s="24" t="str">
        <x:f>IF(B14=C14,"OK","要確認")</x:f>
        <x:v>OK</x:v>
      </x:c>
      <x:c r="E14" s="24" t="str">
        <x:v>0でOK</x:v>
      </x:c>
      <x:c r="G14" s="39" t="str">
        <x:f>'01_月次実績'!A13</x:f>
        <x:v>R0007</x:v>
      </x:c>
      <x:c r="H14" s="39" t="n">
        <x:f>COUNTIF('01_月次実績'!$A$4:$A$27,G14)</x:f>
        <x:v>1</x:v>
      </x:c>
    </x:row>
    <x:row r="15">
      <x:c r="G15" s="39" t="str">
        <x:f>'01_月次実績'!A14</x:f>
        <x:v>R0008</x:v>
      </x:c>
      <x:c r="H15" s="39" t="n">
        <x:f>COUNTIF('01_月次実績'!$A$4:$A$27,G15)</x:f>
        <x:v>1</x:v>
      </x:c>
    </x:row>
    <x:row r="16">
      <x:c r="G16" s="39" t="str">
        <x:f>'01_月次実績'!A15</x:f>
        <x:v>R0009</x:v>
      </x:c>
      <x:c r="H16" s="39" t="n">
        <x:f>COUNTIF('01_月次実績'!$A$4:$A$27,G16)</x:f>
        <x:v>1</x:v>
      </x:c>
    </x:row>
    <x:row r="17">
      <x:c r="G17" s="39" t="str">
        <x:f>'01_月次実績'!A16</x:f>
        <x:v>R0010</x:v>
      </x:c>
      <x:c r="H17" s="39" t="n">
        <x:f>COUNTIF('01_月次実績'!$A$4:$A$27,G17)</x:f>
        <x:v>1</x:v>
      </x:c>
    </x:row>
    <x:row r="18">
      <x:c r="G18" s="39" t="str">
        <x:f>'01_月次実績'!A17</x:f>
        <x:v>R0011</x:v>
      </x:c>
      <x:c r="H18" s="39" t="n">
        <x:f>COUNTIF('01_月次実績'!$A$4:$A$27,G18)</x:f>
        <x:v>1</x:v>
      </x:c>
    </x:row>
    <x:row r="19">
      <x:c r="G19" s="39" t="str">
        <x:f>'01_月次実績'!A18</x:f>
        <x:v>R0012</x:v>
      </x:c>
      <x:c r="H19" s="39" t="n">
        <x:f>COUNTIF('01_月次実績'!$A$4:$A$27,G19)</x:f>
        <x:v>1</x:v>
      </x:c>
    </x:row>
    <x:row r="20">
      <x:c r="G20" s="39" t="str">
        <x:f>'01_月次実績'!A19</x:f>
        <x:v>R0016</x:v>
      </x:c>
      <x:c r="H20" s="39" t="n">
        <x:f>COUNTIF('01_月次実績'!$A$4:$A$27,G20)</x:f>
        <x:v>1</x:v>
      </x:c>
    </x:row>
    <x:row r="21">
      <x:c r="G21" s="39" t="str">
        <x:f>'01_月次実績'!A20</x:f>
        <x:v>R0017</x:v>
      </x:c>
      <x:c r="H21" s="39" t="n">
        <x:f>COUNTIF('01_月次実績'!$A$4:$A$27,G21)</x:f>
        <x:v>1</x:v>
      </x:c>
    </x:row>
    <x:row r="22">
      <x:c r="G22" s="39" t="str">
        <x:f>'01_月次実績'!A21</x:f>
        <x:v>R0018</x:v>
      </x:c>
      <x:c r="H22" s="39" t="n">
        <x:f>COUNTIF('01_月次実績'!$A$4:$A$27,G22)</x:f>
        <x:v>1</x:v>
      </x:c>
    </x:row>
    <x:row r="23">
      <x:c r="G23" s="39" t="str">
        <x:f>'01_月次実績'!A22</x:f>
        <x:v>R0019</x:v>
      </x:c>
      <x:c r="H23" s="39" t="n">
        <x:f>COUNTIF('01_月次実績'!$A$4:$A$27,G23)</x:f>
        <x:v>1</x:v>
      </x:c>
    </x:row>
    <x:row r="24">
      <x:c r="G24" s="39" t="str">
        <x:f>'01_月次実績'!A23</x:f>
        <x:v>R0020</x:v>
      </x:c>
      <x:c r="H24" s="39" t="n">
        <x:f>COUNTIF('01_月次実績'!$A$4:$A$27,G24)</x:f>
        <x:v>1</x:v>
      </x:c>
    </x:row>
    <x:row r="25">
      <x:c r="G25" s="39" t="str">
        <x:f>'01_月次実績'!A24</x:f>
        <x:v>R0021</x:v>
      </x:c>
      <x:c r="H25" s="39" t="n">
        <x:f>COUNTIF('01_月次実績'!$A$4:$A$27,G25)</x:f>
        <x:v>1</x:v>
      </x:c>
    </x:row>
    <x:row r="26">
      <x:c r="G26" s="39" t="str">
        <x:f>'01_月次実績'!A25</x:f>
        <x:v>R0022</x:v>
      </x:c>
      <x:c r="H26" s="39" t="n">
        <x:f>COUNTIF('01_月次実績'!$A$4:$A$27,G26)</x:f>
        <x:v>1</x:v>
      </x:c>
    </x:row>
    <x:row r="27">
      <x:c r="G27" s="39" t="str">
        <x:f>'01_月次実績'!A26</x:f>
        <x:v>R0023</x:v>
      </x:c>
      <x:c r="H27" s="39" t="n">
        <x:f>COUNTIF('01_月次実績'!$A$4:$A$27,G27)</x:f>
        <x:v>1</x:v>
      </x:c>
    </x:row>
    <x:row r="28">
      <x:c r="G28" s="39" t="str">
        <x:f>'01_月次実績'!A27</x:f>
        <x:v>R0024</x:v>
      </x:c>
      <x:c r="H28" s="39" t="n">
        <x:f>COUNTIF('01_月次実績'!$A$4:$A$27,G28)</x:f>
        <x:v>1</x:v>
      </x:c>
    </x:row>
  </x:sheetData>
  <x:mergeCells>
    <x:mergeCell ref="A1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0" hidden="0" customWidth="1"/>
    <x:col min="4" max="4" width="34" hidden="0" customWidth="1"/>
  </x:cols>
  <x:sheetData>
    <x:row r="1" ht="34" customHeight="1">
      <x:c r="A1" s="6" t="str">
        <x:v>月別売上　グラフ元表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年月</x:v>
      </x:c>
      <x:c r="B4" s="16" t="str">
        <x:v>売上金額</x:v>
      </x:c>
    </x:row>
    <x:row r="5">
      <x:c r="A5" s="24" t="str">
        <x:v>2026-04</x:v>
      </x:c>
      <x:c r="B5" s="52" t="n">
        <x:f>SUMIFS('01_月次実績'!$L$4:$L$27,'01_月次実績'!$C$4:$C$27,DATE(2026,4,1))</x:f>
        <x:v>300000</x:v>
      </x:c>
    </x:row>
    <x:row r="6">
      <x:c r="A6" s="24" t="str">
        <x:v>2026-05</x:v>
      </x:c>
      <x:c r="B6" s="52" t="n">
        <x:f>SUMIFS('01_月次実績'!$L$4:$L$27,'01_月次実績'!$C$4:$C$27,DATE(2026,5,1))</x:f>
        <x:v>1780000</x:v>
      </x:c>
    </x:row>
    <x:row r="7">
      <x:c r="A7" s="24" t="str">
        <x:v>2026-06</x:v>
      </x:c>
      <x:c r="B7" s="52" t="n">
        <x:f>SUMIFS('01_月次実績'!$L$4:$L$27,'01_月次実績'!$C$4:$C$27,DATE(2026,6,1))</x:f>
        <x:v>330000</x:v>
      </x:c>
    </x:row>
    <x:row r="8">
      <x:c r="A8" s="24" t="str">
        <x:v>2026-07</x:v>
      </x:c>
      <x:c r="B8" s="52" t="n">
        <x:f>SUMIFS('01_月次実績'!$L$4:$L$27,'01_月次実績'!$C$4:$C$27,DATE(2026,7,1))</x:f>
        <x:v>750000</x:v>
      </x:c>
    </x:row>
    <x:row r="9">
      <x:c r="A9" s="24" t="str">
        <x:v>総計</x:v>
      </x:c>
      <x:c r="B9" s="52" t="n">
        <x:f>SUM(B5:B8)</x:f>
        <x:v>3160000</x:v>
      </x:c>
    </x:row>
    <x:row r="11">
      <x:c r="A11" s="58" t="str">
        <x:v>グラフ作成ではA4:B8を選択し、総計行A9:B9は含めません。</x:v>
      </x:c>
      <x:c r="B11" s="58"/>
      <x:c r="C11" s="58"/>
      <x:c r="D11" s="58"/>
    </x:row>
  </x:sheetData>
  <x:mergeCells>
    <x:mergeCell ref="A1:D2"/>
    <x:mergeCell ref="A11:D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32" hidden="0" customWidth="1"/>
  </x:cols>
  <x:sheetData>
    <x:row r="1" ht="34" customHeight="1">
      <x:c r="A1" s="6" t="str">
        <x:v>部門別実績件数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部門</x:v>
      </x:c>
      <x:c r="B4" s="16" t="str">
        <x:v>実績件数</x:v>
      </x:c>
    </x:row>
    <x:row r="5">
      <x:c r="A5" s="24" t="str">
        <x:v>営業1課</x:v>
      </x:c>
      <x:c r="B5" s="24" t="n">
        <x:f>COUNTIF('01_月次実績'!$D$4:$D$27,A5)</x:f>
        <x:v>8</x:v>
      </x:c>
    </x:row>
    <x:row r="6">
      <x:c r="A6" s="24" t="str">
        <x:v>営業2課</x:v>
      </x:c>
      <x:c r="B6" s="24" t="n">
        <x:f>COUNTIF('01_月次実績'!$D$4:$D$27,A6)</x:f>
        <x:v>8</x:v>
      </x:c>
    </x:row>
    <x:row r="7">
      <x:c r="A7" s="24" t="str">
        <x:v>技術部</x:v>
      </x:c>
      <x:c r="B7" s="24" t="n">
        <x:f>COUNTIF('01_月次実績'!$D$4:$D$27,A7)</x:f>
        <x:v>8</x:v>
      </x:c>
    </x:row>
    <x:row r="8">
      <x:c r="A8" s="24" t="str">
        <x:v>総計</x:v>
      </x:c>
      <x:c r="B8" s="24" t="n">
        <x:f>SUM(B5:B7)</x:f>
        <x:v>24</x:v>
      </x:c>
    </x:row>
  </x:sheetData>
  <x:mergeCells>
    <x:mergeCell ref="A1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6" t="str">
        <x:v>月次実績レポート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64" t="str">
        <x:v>対象期間：2026年4月～7月</x:v>
      </x:c>
      <x:c r="B3" s="64"/>
      <x:c r="C3" s="64"/>
      <x:c r="D3" s="64"/>
      <x:c r="E3" s="64"/>
      <x:c r="F3" s="64"/>
      <x:c r="G3" s="64"/>
      <x:c r="H3" s="64"/>
      <x:c r="I3" s="64" t="str">
        <x:v>最終更新日：作業日</x:v>
      </x:c>
      <x:c r="J3" s="64"/>
      <x:c r="K3" s="64"/>
      <x:c r="L3" s="64"/>
    </x:row>
    <x:row r="5">
      <x:c r="A5" s="69" t="str">
        <x:v>売上合計</x:v>
      </x:c>
      <x:c r="B5" s="69"/>
      <x:c r="C5" s="69"/>
      <x:c r="D5" s="69"/>
      <x:c r="E5" s="69" t="str">
        <x:v>実績件数</x:v>
      </x:c>
      <x:c r="F5" s="69"/>
      <x:c r="G5" s="69"/>
      <x:c r="H5" s="69"/>
      <x:c r="I5" s="69" t="str">
        <x:v>完了件数</x:v>
      </x:c>
      <x:c r="J5" s="69"/>
      <x:c r="K5" s="69"/>
      <x:c r="L5" s="69"/>
    </x:row>
    <x:row r="6">
      <x:c r="A6" s="76" t="n">
        <x:f>SUM('01_月次実績'!L4:L27)</x:f>
        <x:v>3160000</x:v>
      </x:c>
      <x:c r="B6" s="76"/>
      <x:c r="C6" s="76"/>
      <x:c r="D6" s="76"/>
      <x:c r="E6" s="84" t="n">
        <x:f>COUNTA('01_月次実績'!A4:A27)</x:f>
        <x:v>24</x:v>
      </x:c>
      <x:c r="F6" s="84"/>
      <x:c r="G6" s="84"/>
      <x:c r="H6" s="84"/>
      <x:c r="I6" s="84" t="n">
        <x:f>COUNTIF('01_月次実績'!M4:M27,"完了")</x:f>
        <x:v>17</x:v>
      </x:c>
      <x:c r="J6" s="84"/>
      <x:c r="K6" s="84"/>
      <x:c r="L6" s="84"/>
    </x:row>
    <x:row r="7">
      <x:c r="A7" s="76"/>
      <x:c r="B7" s="76"/>
      <x:c r="C7" s="76"/>
      <x:c r="D7" s="76"/>
      <x:c r="E7" s="84"/>
      <x:c r="F7" s="84"/>
      <x:c r="G7" s="84"/>
      <x:c r="H7" s="84"/>
      <x:c r="I7" s="84"/>
      <x:c r="J7" s="84"/>
      <x:c r="K7" s="84"/>
      <x:c r="L7" s="84"/>
    </x:row>
    <x:row r="8">
      <x:c r="A8" s="76"/>
      <x:c r="B8" s="76"/>
      <x:c r="C8" s="76"/>
      <x:c r="D8" s="76"/>
      <x:c r="E8" s="84"/>
      <x:c r="F8" s="84"/>
      <x:c r="G8" s="84"/>
      <x:c r="H8" s="84"/>
      <x:c r="I8" s="84"/>
      <x:c r="J8" s="84"/>
      <x:c r="K8" s="84"/>
      <x:c r="L8" s="84"/>
    </x:row>
    <x:row r="26">
      <x:c r="A26" s="88" t="str">
        <x:v>完成見本です。作業シートでは、月別売上推移グラフだけを作成します。</x:v>
      </x:c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</x:row>
  </x:sheetData>
  <x:mergeCells>
    <x:mergeCell ref="A1:L2"/>
    <x:mergeCell ref="A3:H3"/>
    <x:mergeCell ref="I3:L3"/>
    <x:mergeCell ref="A5:D5"/>
    <x:mergeCell ref="A6:D8"/>
    <x:mergeCell ref="E5:H5"/>
    <x:mergeCell ref="E6:H8"/>
    <x:mergeCell ref="I5:L5"/>
    <x:mergeCell ref="I6:L8"/>
    <x:mergeCell ref="A26:L27"/>
  </x:mergeCells>
  <x:pageMargins left="0.7" right="0.7" top="0.75" bottom="0.75" header="0.3" footer="0.3"/>
  <x:drawing xmlns:r="http://schemas.openxmlformats.org/officeDocument/2006/relationships" r:id="R30e7ed96085e448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6" t="str">
        <x:v>月次実績レポート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>
      <x:c r="A3" s="64" t="str">
        <x:v>対象期間：2026年4月～7月</x:v>
      </x:c>
      <x:c r="B3" s="64"/>
      <x:c r="C3" s="64"/>
      <x:c r="D3" s="64"/>
      <x:c r="E3" s="64"/>
      <x:c r="F3" s="64"/>
      <x:c r="G3" s="64"/>
      <x:c r="H3" s="64"/>
      <x:c r="I3" s="90" t="str">
        <x:v>最終更新日：</x:v>
      </x:c>
      <x:c r="J3" s="90"/>
      <x:c r="K3" s="90"/>
      <x:c r="L3" s="90"/>
    </x:row>
    <x:row r="5">
      <x:c r="A5" s="69" t="str">
        <x:v>売上合計</x:v>
      </x:c>
      <x:c r="B5" s="69"/>
      <x:c r="C5" s="69"/>
      <x:c r="D5" s="69"/>
      <x:c r="E5" s="69" t="str">
        <x:v>実績件数</x:v>
      </x:c>
      <x:c r="F5" s="69"/>
      <x:c r="G5" s="69"/>
      <x:c r="H5" s="69"/>
      <x:c r="I5" s="69" t="str">
        <x:v>完了件数</x:v>
      </x:c>
      <x:c r="J5" s="69"/>
      <x:c r="K5" s="69"/>
      <x:c r="L5" s="69"/>
    </x:row>
    <x:row r="6">
      <x:c r="A6" s="76" t="n">
        <x:f>SUM('01_月次実績'!L4:L27)</x:f>
        <x:v>3160000</x:v>
      </x:c>
      <x:c r="B6" s="76"/>
      <x:c r="C6" s="76"/>
      <x:c r="D6" s="76"/>
      <x:c r="E6" s="84" t="n">
        <x:f>COUNTA('01_月次実績'!A4:A27)</x:f>
        <x:v>24</x:v>
      </x:c>
      <x:c r="F6" s="84"/>
      <x:c r="G6" s="84"/>
      <x:c r="H6" s="84"/>
      <x:c r="I6" s="84" t="n">
        <x:f>COUNTIF('01_月次実績'!M4:M27,"完了")</x:f>
        <x:v>17</x:v>
      </x:c>
      <x:c r="J6" s="84"/>
      <x:c r="K6" s="84"/>
      <x:c r="L6" s="84"/>
    </x:row>
    <x:row r="7">
      <x:c r="A7" s="76"/>
      <x:c r="B7" s="76"/>
      <x:c r="C7" s="76"/>
      <x:c r="D7" s="76"/>
      <x:c r="E7" s="84"/>
      <x:c r="F7" s="84"/>
      <x:c r="G7" s="84"/>
      <x:c r="H7" s="84"/>
      <x:c r="I7" s="84"/>
      <x:c r="J7" s="84"/>
      <x:c r="K7" s="84"/>
      <x:c r="L7" s="84"/>
    </x:row>
    <x:row r="8">
      <x:c r="A8" s="76"/>
      <x:c r="B8" s="76"/>
      <x:c r="C8" s="76"/>
      <x:c r="D8" s="76"/>
      <x:c r="E8" s="84"/>
      <x:c r="F8" s="84"/>
      <x:c r="G8" s="84"/>
      <x:c r="H8" s="84"/>
      <x:c r="I8" s="84"/>
      <x:c r="J8" s="84"/>
      <x:c r="K8" s="84"/>
      <x:c r="L8" s="84"/>
    </x:row>
    <x:row r="10">
      <x:c r="A10" s="95" t="str">
        <x:v>ここへ「月別売上推移」グラフを配置</x:v>
      </x:c>
      <x:c r="B10" s="95"/>
      <x:c r="C10" s="95"/>
      <x:c r="D10" s="95"/>
      <x:c r="E10" s="95"/>
      <x:c r="F10" s="95"/>
    </x:row>
    <x:row r="11">
      <x:c r="A11" s="95"/>
      <x:c r="B11" s="95"/>
      <x:c r="C11" s="95"/>
      <x:c r="D11" s="95"/>
      <x:c r="E11" s="95"/>
      <x:c r="F11" s="95"/>
    </x:row>
    <x:row r="12">
      <x:c r="A12" s="95"/>
      <x:c r="B12" s="95"/>
      <x:c r="C12" s="95"/>
      <x:c r="D12" s="95"/>
      <x:c r="E12" s="95"/>
      <x:c r="F12" s="95"/>
    </x:row>
    <x:row r="13">
      <x:c r="A13" s="95"/>
      <x:c r="B13" s="95"/>
      <x:c r="C13" s="95"/>
      <x:c r="D13" s="95"/>
      <x:c r="E13" s="95"/>
      <x:c r="F13" s="95"/>
    </x:row>
    <x:row r="14">
      <x:c r="A14" s="95"/>
      <x:c r="B14" s="95"/>
      <x:c r="C14" s="95"/>
      <x:c r="D14" s="95"/>
      <x:c r="E14" s="95"/>
      <x:c r="F14" s="95"/>
    </x:row>
    <x:row r="15">
      <x:c r="A15" s="95"/>
      <x:c r="B15" s="95"/>
      <x:c r="C15" s="95"/>
      <x:c r="D15" s="95"/>
      <x:c r="E15" s="95"/>
      <x:c r="F15" s="95"/>
    </x:row>
    <x:row r="16">
      <x:c r="A16" s="95"/>
      <x:c r="B16" s="95"/>
      <x:c r="C16" s="95"/>
      <x:c r="D16" s="95"/>
      <x:c r="E16" s="95"/>
      <x:c r="F16" s="95"/>
    </x:row>
    <x:row r="17">
      <x:c r="A17" s="95"/>
      <x:c r="B17" s="95"/>
      <x:c r="C17" s="95"/>
      <x:c r="D17" s="95"/>
      <x:c r="E17" s="95"/>
      <x:c r="F17" s="95"/>
    </x:row>
    <x:row r="18">
      <x:c r="A18" s="95"/>
      <x:c r="B18" s="95"/>
      <x:c r="C18" s="95"/>
      <x:c r="D18" s="95"/>
      <x:c r="E18" s="95"/>
      <x:c r="F18" s="95"/>
    </x:row>
    <x:row r="19">
      <x:c r="A19" s="95"/>
      <x:c r="B19" s="95"/>
      <x:c r="C19" s="95"/>
      <x:c r="D19" s="95"/>
      <x:c r="E19" s="95"/>
      <x:c r="F19" s="95"/>
    </x:row>
    <x:row r="20">
      <x:c r="A20" s="95"/>
      <x:c r="B20" s="95"/>
      <x:c r="C20" s="95"/>
      <x:c r="D20" s="95"/>
      <x:c r="E20" s="95"/>
      <x:c r="F20" s="95"/>
    </x:row>
    <x:row r="21">
      <x:c r="A21" s="95"/>
      <x:c r="B21" s="95"/>
      <x:c r="C21" s="95"/>
      <x:c r="D21" s="95"/>
      <x:c r="E21" s="95"/>
      <x:c r="F21" s="95"/>
    </x:row>
    <x:row r="22">
      <x:c r="A22" s="95"/>
      <x:c r="B22" s="95"/>
      <x:c r="C22" s="95"/>
      <x:c r="D22" s="95"/>
      <x:c r="E22" s="95"/>
      <x:c r="F22" s="95"/>
    </x:row>
    <x:row r="23">
      <x:c r="A23" s="95"/>
      <x:c r="B23" s="95"/>
      <x:c r="C23" s="95"/>
      <x:c r="D23" s="95"/>
      <x:c r="E23" s="95"/>
      <x:c r="F23" s="95"/>
    </x:row>
    <x:row r="24">
      <x:c r="A24" s="95"/>
      <x:c r="B24" s="95"/>
      <x:c r="C24" s="95"/>
      <x:c r="D24" s="95"/>
      <x:c r="E24" s="95"/>
      <x:c r="F24" s="95"/>
    </x:row>
    <x:row r="26">
      <x:c r="A26" s="88" t="str">
        <x:v>確認：月別売上は4か月・総計なし／部門別件数は各8件／グラフ同士を重ねない</x:v>
      </x:c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</x:row>
  </x:sheetData>
  <x:mergeCells>
    <x:mergeCell ref="A1:L2"/>
    <x:mergeCell ref="A3:H3"/>
    <x:mergeCell ref="I3:L3"/>
    <x:mergeCell ref="A5:D5"/>
    <x:mergeCell ref="A6:D8"/>
    <x:mergeCell ref="E5:H5"/>
    <x:mergeCell ref="E6:H8"/>
    <x:mergeCell ref="I5:L5"/>
    <x:mergeCell ref="I6:L8"/>
    <x:mergeCell ref="A10:F24"/>
    <x:mergeCell ref="A26:L27"/>
  </x:mergeCells>
  <x:pageMargins left="0.7" right="0.7" top="0.75" bottom="0.75" header="0.3" footer="0.3"/>
  <x:drawing xmlns:r="http://schemas.openxmlformats.org/officeDocument/2006/relationships" r:id="R817b3cc769f7484f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4" hidden="0" customWidth="1"/>
    <x:col min="4" max="4" width="28" hidden="0" customWidth="1"/>
    <x:col min="5" max="5" width="14" hidden="0" customWidth="1"/>
    <x:col min="6" max="6" width="28" hidden="0" customWidth="1"/>
    <x:col min="7" max="7" width="30" hidden="0" customWidth="1"/>
  </x:cols>
  <x:sheetData>
    <x:row r="1" ht="34" customHeight="1">
      <x:c r="A1" s="6" t="str">
        <x:v>Power BI最終確認</x:v>
      </x:c>
      <x:c r="B1" s="6"/>
      <x:c r="C1" s="6"/>
      <x:c r="D1" s="6"/>
      <x:c r="E1" s="6"/>
      <x:c r="F1" s="6"/>
      <x:c r="G1" s="6"/>
    </x:row>
    <x:row r="2" ht="34" customHeight="1">
      <x:c r="A2" s="6"/>
      <x:c r="B2" s="6"/>
      <x:c r="C2" s="6"/>
      <x:c r="D2" s="6"/>
      <x:c r="E2" s="6"/>
      <x:c r="F2" s="6"/>
      <x:c r="G2" s="6"/>
    </x:row>
    <x:row r="4">
      <x:c r="A4" s="16" t="str">
        <x:v>条件</x:v>
      </x:c>
      <x:c r="B4" s="16" t="str">
        <x:v>確認項目</x:v>
      </x:c>
      <x:c r="C4" s="16" t="str">
        <x:v>Excel期待値</x:v>
      </x:c>
      <x:c r="D4" s="16" t="str">
        <x:v>Power BI実際値</x:v>
      </x:c>
      <x:c r="E4" s="16" t="str">
        <x:v>判定</x:v>
      </x:c>
      <x:c r="F4" s="16" t="str">
        <x:v>確認方法</x:v>
      </x:c>
      <x:c r="G4" s="16" t="str">
        <x:v>補足</x:v>
      </x:c>
    </x:row>
    <x:row r="5">
      <x:c r="A5" s="24" t="str">
        <x:v>全件</x:v>
      </x:c>
      <x:c r="B5" s="24" t="str">
        <x:v>売上合計</x:v>
      </x:c>
      <x:c r="C5" s="24" t="str">
        <x:v>3,160,000</x:v>
      </x:c>
      <x:c r="D5" s="28" t="str"/>
      <x:c r="E5" s="24" t="str">
        <x:v>未確認</x:v>
      </x:c>
      <x:c r="F5" s="24" t="str">
        <x:v>カード</x:v>
      </x:c>
      <x:c r="G5" s="24" t="str"/>
    </x:row>
    <x:row r="6">
      <x:c r="A6" s="24" t="str">
        <x:v>全件</x:v>
      </x:c>
      <x:c r="B6" s="24" t="str">
        <x:v>実績件数</x:v>
      </x:c>
      <x:c r="C6" s="24" t="str">
        <x:v>24</x:v>
      </x:c>
      <x:c r="D6" s="28" t="str"/>
      <x:c r="E6" s="24" t="str">
        <x:v>未確認</x:v>
      </x:c>
      <x:c r="F6" s="24" t="str">
        <x:v>カード</x:v>
      </x:c>
      <x:c r="G6" s="24" t="str"/>
    </x:row>
    <x:row r="7">
      <x:c r="A7" s="24" t="str">
        <x:v>全件</x:v>
      </x:c>
      <x:c r="B7" s="24" t="str">
        <x:v>完了件数</x:v>
      </x:c>
      <x:c r="C7" s="24" t="str">
        <x:v>17</x:v>
      </x:c>
      <x:c r="D7" s="28" t="str"/>
      <x:c r="E7" s="24" t="str">
        <x:v>未確認</x:v>
      </x:c>
      <x:c r="F7" s="24" t="str">
        <x:v>カード</x:v>
      </x:c>
      <x:c r="G7" s="24" t="str">
        <x:v>ステータス＝完了</x:v>
      </x:c>
    </x:row>
    <x:row r="8">
      <x:c r="A8" s="24" t="str">
        <x:v>全件</x:v>
      </x:c>
      <x:c r="B8" s="24" t="str">
        <x:v>田中一郎売上</x:v>
      </x:c>
      <x:c r="C8" s="24" t="str">
        <x:v>740,000</x:v>
      </x:c>
      <x:c r="D8" s="28" t="str"/>
      <x:c r="E8" s="24" t="str">
        <x:v>未確認</x:v>
      </x:c>
      <x:c r="F8" s="24" t="str">
        <x:v>担当者別売上</x:v>
      </x:c>
      <x:c r="G8" s="24" t="str"/>
    </x:row>
    <x:row r="9">
      <x:c r="A9" s="24" t="str">
        <x:v>営業1課</x:v>
      </x:c>
      <x:c r="B9" s="24" t="str">
        <x:v>売上合計</x:v>
      </x:c>
      <x:c r="C9" s="24" t="str">
        <x:v>1,070,000</x:v>
      </x:c>
      <x:c r="D9" s="28" t="str"/>
      <x:c r="E9" s="24" t="str">
        <x:v>未確認</x:v>
      </x:c>
      <x:c r="F9" s="24" t="str">
        <x:v>部門スライサー</x:v>
      </x:c>
      <x:c r="G9" s="24" t="str"/>
    </x:row>
    <x:row r="10">
      <x:c r="A10" s="24" t="str">
        <x:v>営業1課</x:v>
      </x:c>
      <x:c r="B10" s="24" t="str">
        <x:v>実績件数</x:v>
      </x:c>
      <x:c r="C10" s="24" t="str">
        <x:v>8</x:v>
      </x:c>
      <x:c r="D10" s="28" t="str"/>
      <x:c r="E10" s="24" t="str">
        <x:v>未確認</x:v>
      </x:c>
      <x:c r="F10" s="24" t="str">
        <x:v>部門スライサー</x:v>
      </x:c>
      <x:c r="G10" s="24" t="str"/>
    </x:row>
    <x:row r="11">
      <x:c r="A11" s="24" t="str">
        <x:v>営業1課</x:v>
      </x:c>
      <x:c r="B11" s="24" t="str">
        <x:v>完了件数</x:v>
      </x:c>
      <x:c r="C11" s="24" t="str">
        <x:v>6</x:v>
      </x:c>
      <x:c r="D11" s="28" t="str"/>
      <x:c r="E11" s="24" t="str">
        <x:v>未確認</x:v>
      </x:c>
      <x:c r="F11" s="24" t="str">
        <x:v>部門スライサー</x:v>
      </x:c>
      <x:c r="G11" s="24" t="str"/>
    </x:row>
    <x:row r="12">
      <x:c r="A12" s="24" t="str">
        <x:v>最終状態</x:v>
      </x:c>
      <x:c r="B12" s="24" t="str">
        <x:v>部門スライサー</x:v>
      </x:c>
      <x:c r="C12" s="24" t="str">
        <x:v>全件</x:v>
      </x:c>
      <x:c r="D12" s="28" t="str"/>
      <x:c r="E12" s="24" t="str">
        <x:v>未確認</x:v>
      </x:c>
      <x:c r="F12" s="24" t="str">
        <x:v>条件解除</x:v>
      </x:c>
      <x:c r="G12" s="24" t="str"/>
    </x:row>
    <x:row r="13">
      <x:c r="A13" s="24" t="str">
        <x:v>保存</x:v>
      </x:c>
      <x:c r="B13" s="24" t="str">
        <x:v>PBIX</x:v>
      </x:c>
      <x:c r="C13" s="24" t="str">
        <x:v>保存済み</x:v>
      </x:c>
      <x:c r="D13" s="28" t="str"/>
      <x:c r="E13" s="24" t="str">
        <x:v>未確認</x:v>
      </x:c>
      <x:c r="F13" s="24" t="str">
        <x:v>指定名で保存</x:v>
      </x:c>
      <x:c r="G13" s="24" t="str"/>
    </x:row>
  </x:sheetData>
  <x:mergeCells>
    <x:mergeCell ref="A1:G2"/>
  </x:mergeCells>
  <x:dataValidations count="1">
    <x:dataValidation type="list" sqref="E5:E13">
      <x:formula1>"未確認,OK,要確認"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54" hidden="0" customWidth="1"/>
    <x:col min="4" max="4" width="38" hidden="0" customWidth="1"/>
    <x:col min="5" max="5" width="14" hidden="0" customWidth="1"/>
  </x:cols>
  <x:sheetData>
    <x:row r="1" ht="34" customHeight="1">
      <x:c r="A1" s="6" t="str">
        <x:v>月次実績管理の運用引継ぎ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基本情報</x:v>
      </x:c>
      <x:c r="B4" s="16" t="str">
        <x:v>入力</x:v>
      </x:c>
    </x:row>
    <x:row r="5">
      <x:c r="A5" s="24" t="str">
        <x:v>担当者</x:v>
      </x:c>
      <x:c r="B5" s="28" t="str"/>
    </x:row>
    <x:row r="6">
      <x:c r="A6" s="24" t="str">
        <x:v>Excelファイル名</x:v>
      </x:c>
      <x:c r="B6" s="28" t="str"/>
    </x:row>
    <x:row r="7">
      <x:c r="A7" s="24" t="str">
        <x:v>PBIXファイル名</x:v>
      </x:c>
      <x:c r="B7" s="28" t="str"/>
    </x:row>
    <x:row r="8">
      <x:c r="A8" s="24" t="str">
        <x:v>保存場所</x:v>
      </x:c>
      <x:c r="B8" s="28" t="str"/>
    </x:row>
    <x:row r="9">
      <x:c r="A9" s="24" t="str">
        <x:v>次回更新予定</x:v>
      </x:c>
      <x:c r="B9" s="28" t="str"/>
    </x:row>
    <x:row r="10">
      <x:c r="A10" s="24" t="str">
        <x:v>問い合わせ先</x:v>
      </x:c>
      <x:c r="B10" s="28" t="str"/>
    </x:row>
    <x:row r="11">
      <x:c r="A11" s="24" t="str">
        <x:v>未解決事項</x:v>
      </x:c>
      <x:c r="B11" s="28" t="str"/>
    </x:row>
    <x:row r="13">
      <x:c r="A13" s="16" t="str">
        <x:v>No.</x:v>
      </x:c>
      <x:c r="B13" s="16" t="str">
        <x:v>工程</x:v>
      </x:c>
      <x:c r="C13" s="16" t="str">
        <x:v>具体的な操作</x:v>
      </x:c>
      <x:c r="D13" s="16" t="str">
        <x:v>完了の基準</x:v>
      </x:c>
      <x:c r="E13" s="16" t="str">
        <x:v>確認</x:v>
      </x:c>
    </x:row>
    <x:row r="14">
      <x:c r="A14" s="39" t="n">
        <x:v>1</x:v>
      </x:c>
      <x:c r="B14" s="39" t="str">
        <x:v>使用ファイルを確認</x:v>
      </x:c>
      <x:c r="C14" s="39" t="str">
        <x:v>ExcelとPBIXの正式名・保存先を確認</x:v>
      </x:c>
      <x:c r="D14" s="39" t="str">
        <x:v>対象ファイルが明確</x:v>
      </x:c>
      <x:c r="E14" s="39" t="str">
        <x:v>未確認</x:v>
      </x:c>
    </x:row>
    <x:row r="15">
      <x:c r="A15" s="39" t="n">
        <x:v>2</x:v>
      </x:c>
      <x:c r="B15" s="39" t="str">
        <x:v>データ品質を確認</x:v>
      </x:c>
      <x:c r="C15" s="39" t="str">
        <x:v>02_データ品質確認を開く</x:v>
      </x:c>
      <x:c r="D15" s="39" t="str">
        <x:v>10項目がすべてOK</x:v>
      </x:c>
      <x:c r="E15" s="39" t="str">
        <x:v>未確認</x:v>
      </x:c>
    </x:row>
    <x:row r="16">
      <x:c r="A16" s="39" t="n">
        <x:v>3</x:v>
      </x:c>
      <x:c r="B16" s="39" t="str">
        <x:v>Excel報告を確認</x:v>
      </x:c>
      <x:c r="C16" s="39" t="str">
        <x:v>3指標・2グラフ・最終更新日を確認</x:v>
      </x:c>
      <x:c r="D16" s="39" t="str">
        <x:v>1画面で確認可能</x:v>
      </x:c>
      <x:c r="E16" s="39" t="str">
        <x:v>未確認</x:v>
      </x:c>
    </x:row>
    <x:row r="17">
      <x:c r="A17" s="39" t="n">
        <x:v>4</x:v>
      </x:c>
      <x:c r="B17" s="39" t="str">
        <x:v>Excelを保存</x:v>
      </x:c>
      <x:c r="C17" s="39" t="str">
        <x:v>指定名で保存</x:v>
      </x:c>
      <x:c r="D17" s="39" t="str">
        <x:v>保存済み</x:v>
      </x:c>
      <x:c r="E17" s="39" t="str">
        <x:v>未確認</x:v>
      </x:c>
    </x:row>
    <x:row r="18">
      <x:c r="A18" s="39" t="n">
        <x:v>5</x:v>
      </x:c>
      <x:c r="B18" s="39" t="str">
        <x:v>Power BIを更新</x:v>
      </x:c>
      <x:c r="C18" s="39" t="str">
        <x:v>参照先を確認し更新</x:v>
      </x:c>
      <x:c r="D18" s="39" t="str">
        <x:v>3,160,000・24・17</x:v>
      </x:c>
      <x:c r="E18" s="39" t="str">
        <x:v>未確認</x:v>
      </x:c>
    </x:row>
    <x:row r="19">
      <x:c r="A19" s="39" t="n">
        <x:v>6</x:v>
      </x:c>
      <x:c r="B19" s="39" t="str">
        <x:v>条件と照合</x:v>
      </x:c>
      <x:c r="C19" s="39" t="str">
        <x:v>営業1課を確認しExcelと比較</x:v>
      </x:c>
      <x:c r="D19" s="39" t="str">
        <x:v>1,070,000・8・6</x:v>
      </x:c>
      <x:c r="E19" s="39" t="str">
        <x:v>未確認</x:v>
      </x:c>
    </x:row>
    <x:row r="20">
      <x:c r="A20" s="39" t="n">
        <x:v>7</x:v>
      </x:c>
      <x:c r="B20" s="39" t="str">
        <x:v>全件・保存・記録</x:v>
      </x:c>
      <x:c r="C20" s="39" t="str">
        <x:v>スライサー解除、PBIX保存、未解決事項記録</x:v>
      </x:c>
      <x:c r="D20" s="39" t="str">
        <x:v>提出できる状態</x:v>
      </x:c>
      <x:c r="E20" s="39" t="str">
        <x:v>未確認</x:v>
      </x:c>
    </x:row>
  </x:sheetData>
  <x:mergeCells>
    <x:mergeCell ref="A1:E2"/>
  </x:mergeCells>
  <x:dataValidations count="1">
    <x:dataValidation type="list" sqref="E14:E20">
      <x:formula1>"未確認,OK,要確認"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8" hidden="0" customWidth="1"/>
    <x:col min="4" max="4" width="14" hidden="0" customWidth="1"/>
    <x:col min="5" max="5" width="42" hidden="0" customWidth="1"/>
    <x:col min="6" max="6" width="14" hidden="0" customWidth="1"/>
  </x:cols>
  <x:sheetData>
    <x:row r="1" ht="34" customHeight="1">
      <x:c r="A1" s="6" t="str">
        <x:v>中級コース完成チェック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No.</x:v>
      </x:c>
      <x:c r="B4" s="16" t="str">
        <x:v>分類</x:v>
      </x:c>
      <x:c r="C4" s="16" t="str">
        <x:v>確認項目</x:v>
      </x:c>
      <x:c r="D4" s="16" t="str">
        <x:v>判定</x:v>
      </x:c>
      <x:c r="E4" s="16" t="str">
        <x:v>要確認の内容</x:v>
      </x:c>
      <x:c r="F4" s="16" t="str">
        <x:v>再確認</x:v>
      </x:c>
    </x:row>
    <x:row r="5">
      <x:c r="A5" s="24" t="n">
        <x:v>1</x:v>
      </x:c>
      <x:c r="B5" s="24" t="str">
        <x:v>データ</x:v>
      </x:c>
      <x:c r="C5" s="24" t="str">
        <x:v>15列・24件</x:v>
      </x:c>
      <x:c r="D5" s="24" t="str">
        <x:v>未確認</x:v>
      </x:c>
      <x:c r="E5" s="28" t="str"/>
      <x:c r="F5" s="24" t="str">
        <x:v>未確認</x:v>
      </x:c>
    </x:row>
    <x:row r="6">
      <x:c r="A6" s="24" t="n">
        <x:v>2</x:v>
      </x:c>
      <x:c r="B6" s="24" t="str">
        <x:v>データ</x:v>
      </x:c>
      <x:c r="C6" s="24" t="str">
        <x:v>3,160,000・完了17・最新2026-07</x:v>
      </x:c>
      <x:c r="D6" s="24" t="str">
        <x:v>未確認</x:v>
      </x:c>
      <x:c r="E6" s="28" t="str"/>
      <x:c r="F6" s="24" t="str">
        <x:v>未確認</x:v>
      </x:c>
    </x:row>
    <x:row r="7">
      <x:c r="A7" s="24" t="n">
        <x:v>3</x:v>
      </x:c>
      <x:c r="B7" s="24" t="str">
        <x:v>データ</x:v>
      </x:c>
      <x:c r="C7" s="24" t="str">
        <x:v>ID空欄・重複・計算不一致が0</x:v>
      </x:c>
      <x:c r="D7" s="24" t="str">
        <x:v>未確認</x:v>
      </x:c>
      <x:c r="E7" s="28" t="str"/>
      <x:c r="F7" s="24" t="str">
        <x:v>未確認</x:v>
      </x:c>
    </x:row>
    <x:row r="8">
      <x:c r="A8" s="24" t="n">
        <x:v>4</x:v>
      </x:c>
      <x:c r="B8" s="24" t="str">
        <x:v>Excel</x:v>
      </x:c>
      <x:c r="C8" s="24" t="str">
        <x:v>3指標が正しい</x:v>
      </x:c>
      <x:c r="D8" s="24" t="str">
        <x:v>未確認</x:v>
      </x:c>
      <x:c r="E8" s="28" t="str"/>
      <x:c r="F8" s="24" t="str">
        <x:v>未確認</x:v>
      </x:c>
    </x:row>
    <x:row r="9">
      <x:c r="A9" s="24" t="n">
        <x:v>5</x:v>
      </x:c>
      <x:c r="B9" s="24" t="str">
        <x:v>Excel</x:v>
      </x:c>
      <x:c r="C9" s="24" t="str">
        <x:v>月別売上推移グラフがある</x:v>
      </x:c>
      <x:c r="D9" s="24" t="str">
        <x:v>未確認</x:v>
      </x:c>
      <x:c r="E9" s="28" t="str"/>
      <x:c r="F9" s="24" t="str">
        <x:v>未確認</x:v>
      </x:c>
    </x:row>
    <x:row r="10">
      <x:c r="A10" s="24" t="n">
        <x:v>6</x:v>
      </x:c>
      <x:c r="B10" s="24" t="str">
        <x:v>Excel</x:v>
      </x:c>
      <x:c r="C10" s="24" t="str">
        <x:v>部門別件数が各8件</x:v>
      </x:c>
      <x:c r="D10" s="24" t="str">
        <x:v>未確認</x:v>
      </x:c>
      <x:c r="E10" s="28" t="str"/>
      <x:c r="F10" s="24" t="str">
        <x:v>未確認</x:v>
      </x:c>
    </x:row>
    <x:row r="11">
      <x:c r="A11" s="24" t="n">
        <x:v>7</x:v>
      </x:c>
      <x:c r="B11" s="24" t="str">
        <x:v>Power BI</x:v>
      </x:c>
      <x:c r="C11" s="24" t="str">
        <x:v>全件が3,160,000・24・17</x:v>
      </x:c>
      <x:c r="D11" s="24" t="str">
        <x:v>未確認</x:v>
      </x:c>
      <x:c r="E11" s="28" t="str"/>
      <x:c r="F11" s="24" t="str">
        <x:v>未確認</x:v>
      </x:c>
    </x:row>
    <x:row r="12">
      <x:c r="A12" s="24" t="n">
        <x:v>8</x:v>
      </x:c>
      <x:c r="B12" s="24" t="str">
        <x:v>Power BI</x:v>
      </x:c>
      <x:c r="C12" s="24" t="str">
        <x:v>田中一郎が740,000</x:v>
      </x:c>
      <x:c r="D12" s="24" t="str">
        <x:v>未確認</x:v>
      </x:c>
      <x:c r="E12" s="28" t="str"/>
      <x:c r="F12" s="24" t="str">
        <x:v>未確認</x:v>
      </x:c>
    </x:row>
    <x:row r="13">
      <x:c r="A13" s="24" t="n">
        <x:v>9</x:v>
      </x:c>
      <x:c r="B13" s="24" t="str">
        <x:v>Power BI</x:v>
      </x:c>
      <x:c r="C13" s="24" t="str">
        <x:v>営業1課が1,070,000・8・6</x:v>
      </x:c>
      <x:c r="D13" s="24" t="str">
        <x:v>未確認</x:v>
      </x:c>
      <x:c r="E13" s="28" t="str"/>
      <x:c r="F13" s="24" t="str">
        <x:v>未確認</x:v>
      </x:c>
    </x:row>
    <x:row r="14">
      <x:c r="A14" s="24" t="n">
        <x:v>10</x:v>
      </x:c>
      <x:c r="B14" s="24" t="str">
        <x:v>照合</x:v>
      </x:c>
      <x:c r="C14" s="24" t="str">
        <x:v>ExcelとPower BIが一致</x:v>
      </x:c>
      <x:c r="D14" s="24" t="str">
        <x:v>未確認</x:v>
      </x:c>
      <x:c r="E14" s="28" t="str"/>
      <x:c r="F14" s="24" t="str">
        <x:v>未確認</x:v>
      </x:c>
    </x:row>
    <x:row r="15">
      <x:c r="A15" s="24" t="n">
        <x:v>11</x:v>
      </x:c>
      <x:c r="B15" s="24" t="str">
        <x:v>運用</x:v>
      </x:c>
      <x:c r="C15" s="24" t="str">
        <x:v>全件表示・引継ぎ・未解決事項</x:v>
      </x:c>
      <x:c r="D15" s="24" t="str">
        <x:v>未確認</x:v>
      </x:c>
      <x:c r="E15" s="28" t="str"/>
      <x:c r="F15" s="24" t="str">
        <x:v>未確認</x:v>
      </x:c>
    </x:row>
    <x:row r="16">
      <x:c r="A16" s="24" t="n">
        <x:v>12</x:v>
      </x:c>
      <x:c r="B16" s="24" t="str">
        <x:v>提出</x:v>
      </x:c>
      <x:c r="C16" s="24" t="str">
        <x:v>ExcelとPBIXを指定名で保存</x:v>
      </x:c>
      <x:c r="D16" s="24" t="str">
        <x:v>未確認</x:v>
      </x:c>
      <x:c r="E16" s="28" t="str"/>
      <x:c r="F16" s="24" t="str">
        <x:v>未確認</x:v>
      </x:c>
    </x:row>
  </x:sheetData>
  <x:mergeCells>
    <x:mergeCell ref="A1:F2"/>
  </x:mergeCells>
  <x:dataValidations count="2">
    <x:dataValidation type="list" sqref="D5:D16">
      <x:formula1>"未確認,OK,要確認"</x:formula1>
    </x:dataValidation>
    <x:dataValidation type="list" sqref="F5:F16">
      <x:formula1>"未確認,OK,要確認"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4" hidden="0" customWidth="1"/>
    <x:col min="3" max="3" width="50" hidden="0" customWidth="1"/>
    <x:col min="4" max="4" width="22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ExcelとPower BIの役割の違い</x:v>
      </x:c>
      <x:c r="C5" s="28" t="str"/>
      <x:c r="D5" s="24" t="str">
        <x:v>1～2文</x:v>
      </x:c>
    </x:row>
    <x:row r="6">
      <x:c r="A6" s="24" t="n">
        <x:v>2</x:v>
      </x:c>
      <x:c r="B6" s="24" t="str">
        <x:v>月別グラフへ総計を含めない理由</x:v>
      </x:c>
      <x:c r="C6" s="28" t="str"/>
      <x:c r="D6" s="24" t="str">
        <x:v>1～2文</x:v>
      </x:c>
    </x:row>
    <x:row r="7">
      <x:c r="A7" s="24" t="n">
        <x:v>3</x:v>
      </x:c>
      <x:c r="B7" s="24" t="str">
        <x:v>ExcelとPower BIを同じ条件で比較する方法</x:v>
      </x:c>
      <x:c r="C7" s="28" t="str"/>
      <x:c r="D7" s="24" t="str">
        <x:v>1～2文</x:v>
      </x:c>
    </x:row>
    <x:row r="8">
      <x:c r="A8" s="24" t="n">
        <x:v>4</x:v>
      </x:c>
      <x:c r="B8" s="24" t="str">
        <x:v>Power BIの数値が一致しない場合の確認順</x:v>
      </x:c>
      <x:c r="C8" s="28" t="str"/>
      <x:c r="D8" s="24" t="str">
        <x:v>1～2文</x:v>
      </x:c>
    </x:row>
    <x:row r="9">
      <x:c r="A9" s="24" t="n">
        <x:v>5</x:v>
      </x:c>
      <x:c r="B9" s="24" t="str">
        <x:v>中級コースの総合演習の完了条件</x:v>
      </x:c>
      <x:c r="C9" s="28" t="str"/>
      <x:c r="D9" s="24" t="str">
        <x:v>1～2文</x:v>
      </x:c>
    </x:row>
    <x:row r="11">
      <x:c r="A11" s="16" t="str">
        <x:v>振り返り</x:v>
      </x:c>
      <x:c r="B11" s="16" t="str">
        <x:v>回答</x:v>
      </x:c>
      <x:c r="C11" s="16" t="str">
        <x:v>目安</x:v>
      </x:c>
      <x:c r="D11" s="16" t="str">
        <x:v>補足</x:v>
      </x:c>
    </x:row>
    <x:row r="12">
      <x:c r="A12" s="24" t="str">
        <x:v>Excelで確認しやすくなった内容</x:v>
      </x:c>
      <x:c r="B12" s="28" t="str"/>
      <x:c r="C12" s="24" t="str">
        <x:v>1～2文</x:v>
      </x:c>
      <x:c r="D12" s="24" t="str"/>
    </x:row>
    <x:row r="13">
      <x:c r="A13" s="24" t="str">
        <x:v>Power BIで確認しやすくなった内容</x:v>
      </x:c>
      <x:c r="B13" s="28" t="str"/>
      <x:c r="C13" s="24" t="str">
        <x:v>1～2文</x:v>
      </x:c>
      <x:c r="D13" s="24" t="str"/>
    </x:row>
    <x:row r="14">
      <x:c r="A14" s="24" t="str">
        <x:v>月次更新で最も注意する工程</x:v>
      </x:c>
      <x:c r="B14" s="28" t="str"/>
      <x:c r="C14" s="24" t="str">
        <x:v>1～2文</x:v>
      </x:c>
      <x:c r="D14" s="24" t="str"/>
    </x:row>
    <x:row r="15">
      <x:c r="A15" s="24" t="str">
        <x:v>実務使用前に確認する社内ルール</x:v>
      </x:c>
      <x:c r="B15" s="28" t="str"/>
      <x:c r="C15" s="24" t="str">
        <x:v>1～2文</x:v>
      </x:c>
      <x:c r="D15" s="24" t="str"/>
    </x:row>
    <x:row r="16">
      <x:c r="A16" s="24" t="str">
        <x:v>1回あたりの削減時間の見込み</x:v>
      </x:c>
      <x:c r="B16" s="28" t="str"/>
      <x:c r="C16" s="24" t="str">
        <x:v>分で記載</x:v>
      </x:c>
      <x:c r="D16" s="24" t="str"/>
    </x:row>
    <x:row r="18">
      <x:c r="A18" s="16" t="str">
        <x:v>完成記録</x:v>
      </x:c>
      <x:c r="B18" s="16" t="str">
        <x:v>記入・選択</x:v>
      </x:c>
      <x:c r="C18" s="16" t="str">
        <x:v>期待</x:v>
      </x:c>
      <x:c r="D18" s="16" t="str">
        <x:v>補足</x:v>
      </x:c>
    </x:row>
    <x:row r="19">
      <x:c r="A19" s="24" t="str">
        <x:v>Excelファイル名</x:v>
      </x:c>
      <x:c r="B19" s="24" t="str"/>
      <x:c r="C19" s="24" t="str">
        <x:v>中級_第七章_総合演習_受講者名.xlsx</x:v>
      </x:c>
      <x:c r="D19" s="24" t="str"/>
    </x:row>
    <x:row r="20">
      <x:c r="A20" s="24" t="str">
        <x:v>PBIXファイル名</x:v>
      </x:c>
      <x:c r="B20" s="24" t="str"/>
      <x:c r="C20" s="24" t="str">
        <x:v>中級_第七章_最終レポート_受講者名.pbix</x:v>
      </x:c>
      <x:c r="D20" s="24" t="str"/>
    </x:row>
    <x:row r="21">
      <x:c r="A21" s="24" t="str">
        <x:v>Excelテーブル名</x:v>
      </x:c>
      <x:c r="B21" s="24" t="str"/>
      <x:c r="C21" s="24" t="str">
        <x:v>月次実績テーブル</x:v>
      </x:c>
      <x:c r="D21" s="24" t="str"/>
    </x:row>
    <x:row r="22">
      <x:c r="A22" s="24" t="str">
        <x:v>列数・明細件数</x:v>
      </x:c>
      <x:c r="B22" s="24" t="str"/>
      <x:c r="C22" s="24" t="str">
        <x:v>15・24</x:v>
      </x:c>
      <x:c r="D22" s="24" t="str"/>
    </x:row>
    <x:row r="23">
      <x:c r="A23" s="24" t="str">
        <x:v>売上合計・完了件数</x:v>
      </x:c>
      <x:c r="B23" s="24" t="str"/>
      <x:c r="C23" s="24" t="str">
        <x:v>3,160,000・17</x:v>
      </x:c>
      <x:c r="D23" s="24" t="str"/>
    </x:row>
    <x:row r="24">
      <x:c r="A24" s="24" t="str">
        <x:v>最新年月</x:v>
      </x:c>
      <x:c r="B24" s="24" t="str"/>
      <x:c r="C24" s="24" t="str">
        <x:v>2026-07</x:v>
      </x:c>
      <x:c r="D24" s="24" t="str"/>
    </x:row>
    <x:row r="25">
      <x:c r="A25" s="24" t="str">
        <x:v>Excelのグラフ数</x:v>
      </x:c>
      <x:c r="B25" s="24" t="str"/>
      <x:c r="C25" s="24" t="str">
        <x:v>2</x:v>
      </x:c>
      <x:c r="D25" s="24" t="str"/>
    </x:row>
    <x:row r="26">
      <x:c r="A26" s="24" t="str">
        <x:v>Power BIの必須表示数</x:v>
      </x:c>
      <x:c r="B26" s="24" t="str"/>
      <x:c r="C26" s="24" t="str">
        <x:v>5</x:v>
      </x:c>
      <x:c r="D26" s="24" t="str"/>
    </x:row>
    <x:row r="27">
      <x:c r="A27" s="24" t="str">
        <x:v>Power BI全件値</x:v>
      </x:c>
      <x:c r="B27" s="24" t="str"/>
      <x:c r="C27" s="24" t="str">
        <x:v>3,160,000・24・17</x:v>
      </x:c>
      <x:c r="D27" s="24" t="str"/>
    </x:row>
    <x:row r="28">
      <x:c r="A28" s="24" t="str">
        <x:v>営業1課の確認値</x:v>
      </x:c>
      <x:c r="B28" s="24" t="str"/>
      <x:c r="C28" s="24" t="str">
        <x:v>1,070,000・8・6</x:v>
      </x:c>
      <x:c r="D28" s="24" t="str"/>
    </x:row>
    <x:row r="29">
      <x:c r="A29" s="24" t="str">
        <x:v>ExcelとPower BIの不一致件数</x:v>
      </x:c>
      <x:c r="B29" s="24" t="str"/>
      <x:c r="C29" s="24" t="str">
        <x:v>0</x:v>
      </x:c>
      <x:c r="D29" s="24" t="str"/>
    </x:row>
    <x:row r="30">
      <x:c r="A30" s="24" t="str">
        <x:v>スライサー最終状態</x:v>
      </x:c>
      <x:c r="B30" s="24" t="str"/>
      <x:c r="C30" s="24" t="str">
        <x:v>全件</x:v>
      </x:c>
      <x:c r="D30" s="24" t="str"/>
    </x:row>
    <x:row r="31">
      <x:c r="A31" s="24" t="str">
        <x:v>運用引継ぎ</x:v>
      </x:c>
      <x:c r="B31" s="24" t="str">
        <x:v>未確認</x:v>
      </x:c>
      <x:c r="C31" s="24" t="str">
        <x:v>完成</x:v>
      </x:c>
      <x:c r="D31" s="24" t="str"/>
    </x:row>
    <x:row r="32">
      <x:c r="A32" s="24" t="str">
        <x:v>完成チェック</x:v>
      </x:c>
      <x:c r="B32" s="24" t="str">
        <x:v>未確認</x:v>
      </x:c>
      <x:c r="C32" s="24" t="str">
        <x:v>12項目確認</x:v>
      </x:c>
      <x:c r="D32" s="24" t="str"/>
    </x:row>
    <x:row r="33">
      <x:c r="A33" s="24" t="str">
        <x:v>Excel保存</x:v>
      </x:c>
      <x:c r="B33" s="24" t="str">
        <x:v>未確認</x:v>
      </x:c>
      <x:c r="C33" s="24" t="str">
        <x:v>OK</x:v>
      </x:c>
      <x:c r="D33" s="24" t="str"/>
    </x:row>
    <x:row r="34">
      <x:c r="A34" s="24" t="str">
        <x:v>PBIX保存</x:v>
      </x:c>
      <x:c r="B34" s="24" t="str">
        <x:v>未確認</x:v>
      </x:c>
      <x:c r="C34" s="24" t="str">
        <x:v>OK</x:v>
      </x:c>
      <x:c r="D34" s="24" t="str"/>
    </x:row>
    <x:row r="35">
      <x:c r="A35" s="24" t="str">
        <x:v>未解決事項</x:v>
      </x:c>
      <x:c r="B35" s="24" t="str"/>
      <x:c r="C35" s="24" t="str">
        <x:v>なし／内容を記載</x:v>
      </x:c>
      <x:c r="D35" s="24" t="str"/>
    </x:row>
    <x:row r="36">
      <x:c r="A36" s="24" t="str">
        <x:v>中級コースの完成判定</x:v>
      </x:c>
      <x:c r="B36" s="24" t="str">
        <x:v>要確認</x:v>
      </x:c>
      <x:c r="C36" s="24" t="str">
        <x:v>完成</x:v>
      </x:c>
      <x:c r="D36" s="24" t="str"/>
    </x:row>
  </x:sheetData>
  <x:mergeCells>
    <x:mergeCell ref="A1:D2"/>
  </x:mergeCells>
  <x:dataValidations count="2">
    <x:dataValidation type="list" sqref="B31:B34">
      <x:formula1>"未確認,OK,要確認"</x:formula1>
    </x:dataValidation>
    <x:dataValidation type="list" sqref="B36">
      <x:formula1>"完成,要確認"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18" hidden="0" customWidth="1"/>
    <x:col min="4" max="4" width="24" hidden="0" customWidth="1"/>
    <x:col min="5" max="5" width="18" hidden="0" customWidth="1"/>
  </x:cols>
  <x:sheetData>
    <x:row r="1" ht="34" customHeight="1">
      <x:c r="A1" s="6" t="str">
        <x:v>総合演習の期待値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条件</x:v>
      </x:c>
      <x:c r="B4" s="16" t="str">
        <x:v>売上合計</x:v>
      </x:c>
      <x:c r="C4" s="16" t="str">
        <x:v>実績件数</x:v>
      </x:c>
      <x:c r="D4" s="16" t="str">
        <x:v>完了件数</x:v>
      </x:c>
      <x:c r="E4" s="16" t="str">
        <x:v>補足</x:v>
      </x:c>
    </x:row>
    <x:row r="5">
      <x:c r="A5" s="39" t="str">
        <x:v>全件</x:v>
      </x:c>
      <x:c r="B5" s="50" t="n">
        <x:v>3160000</x:v>
      </x:c>
      <x:c r="C5" s="39" t="n">
        <x:v>24</x:v>
      </x:c>
      <x:c r="D5" s="39" t="n">
        <x:v>17</x:v>
      </x:c>
      <x:c r="E5" s="39" t="str">
        <x:v>最終状態</x:v>
      </x:c>
    </x:row>
    <x:row r="6">
      <x:c r="A6" s="39" t="str">
        <x:v>営業1課</x:v>
      </x:c>
      <x:c r="B6" s="50" t="n">
        <x:v>1070000</x:v>
      </x:c>
      <x:c r="C6" s="39" t="n">
        <x:v>8</x:v>
      </x:c>
      <x:c r="D6" s="39" t="n">
        <x:v>6</x:v>
      </x:c>
      <x:c r="E6" s="39" t="str">
        <x:v>部門スライサー</x:v>
      </x:c>
    </x:row>
    <x:row r="7">
      <x:c r="A7" s="39" t="str">
        <x:v>2026-07</x:v>
      </x:c>
      <x:c r="B7" s="50" t="n">
        <x:v>750000</x:v>
      </x:c>
      <x:c r="C7" s="39" t="n">
        <x:v>6</x:v>
      </x:c>
      <x:c r="D7" s="39" t="n">
        <x:v>4</x:v>
      </x:c>
      <x:c r="E7" s="39" t="str">
        <x:v>追加練習</x:v>
      </x:c>
    </x:row>
    <x:row r="8">
      <x:c r="A8" s="39" t="str">
        <x:v>田中一郎</x:v>
      </x:c>
      <x:c r="B8" s="50" t="n">
        <x:v>740000</x:v>
      </x:c>
      <x:c r="C8" s="39" t="n">
        <x:v>4</x:v>
      </x:c>
      <x:c r="D8" s="39" t="n">
        <x:v>3</x:v>
      </x:c>
      <x:c r="E8" s="39" t="str">
        <x:v>担当者別売上</x:v>
      </x:c>
    </x:row>
    <x:row r="10">
      <x:c r="A10" s="16" t="str">
        <x:v>月別売上</x:v>
      </x:c>
      <x:c r="B10" s="16" t="str">
        <x:v>金額</x:v>
      </x:c>
      <x:c r="D10" s="16" t="str">
        <x:v>部門</x:v>
      </x:c>
      <x:c r="E10" s="16" t="str">
        <x:v>件数</x:v>
      </x:c>
    </x:row>
    <x:row r="11">
      <x:c r="A11" s="39" t="str">
        <x:v>2026-04</x:v>
      </x:c>
      <x:c r="B11" s="50" t="n">
        <x:v>300000</x:v>
      </x:c>
      <x:c r="D11" s="39" t="str">
        <x:v>営業1課</x:v>
      </x:c>
      <x:c r="E11" s="39" t="n">
        <x:v>8</x:v>
      </x:c>
    </x:row>
    <x:row r="12">
      <x:c r="A12" s="39" t="str">
        <x:v>2026-05</x:v>
      </x:c>
      <x:c r="B12" s="50" t="n">
        <x:v>1780000</x:v>
      </x:c>
      <x:c r="D12" s="39" t="str">
        <x:v>営業2課</x:v>
      </x:c>
      <x:c r="E12" s="39" t="n">
        <x:v>8</x:v>
      </x:c>
    </x:row>
    <x:row r="13">
      <x:c r="A13" s="39" t="str">
        <x:v>2026-06</x:v>
      </x:c>
      <x:c r="B13" s="50" t="n">
        <x:v>330000</x:v>
      </x:c>
      <x:c r="D13" s="39" t="str">
        <x:v>技術部</x:v>
      </x:c>
      <x:c r="E13" s="39" t="n">
        <x:v>8</x:v>
      </x:c>
    </x:row>
    <x:row r="14">
      <x:c r="A14" s="39" t="str">
        <x:v>2026-07</x:v>
      </x:c>
      <x:c r="B14" s="50" t="n">
        <x:v>750000</x:v>
      </x:c>
    </x:row>
  </x:sheetData>
  <x:mergeCells>
    <x:mergeCell ref="A1:E2"/>
  </x:mergeCells>
  <x:pageMargins left="0.7" right="0.7" top="0.75" bottom="0.75" header="0.3" footer="0.3"/>
</x:worksheet>
</file>